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60B95E2D-75D8-408F-9F16-4E2D760B762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G41" i="2"/>
</calcChain>
</file>

<file path=xl/sharedStrings.xml><?xml version="1.0" encoding="utf-8"?>
<sst xmlns="http://schemas.openxmlformats.org/spreadsheetml/2006/main" count="419" uniqueCount="139">
  <si>
    <t>صورت حساب سپرده</t>
  </si>
  <si>
    <t>صورت‌حساب سپرده 10.11651202.1 مربوط به سپرده حقيقي قرض الحسنه پس انداز حقيقي ريالی ابوالفضل شريفي ميناب از تاریخ 1405/01/31 تا تاریخ 1405/02/31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</si>
  <si>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</si>
  <si>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</si>
  <si>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</si>
  <si>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</si>
  <si>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</si>
  <si>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</si>
  <si>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</si>
  <si>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</si>
  <si>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</si>
  <si>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1</t>
  </si>
  <si>
    <t>1405/02/02</t>
  </si>
  <si>
    <t>15:43:39</t>
  </si>
  <si>
    <t>کارمزد ارسال پیامک بهمن 1404_برداشت بابت فایل (GW-1776872286170)</t>
  </si>
  <si>
    <t>995</t>
  </si>
  <si>
    <t>1405/02/05</t>
  </si>
  <si>
    <t>10:08:48</t>
  </si>
  <si>
    <t>برداشت از سپرده بابت کارمزد انتقال کارت به کارت و کارت به شبا(بخشنامه 04.35500)_سند تراکنش کارت</t>
  </si>
  <si>
    <t>10:08:49</t>
  </si>
  <si>
    <t>انتقال از کارت 5041721220251467 متعلق به ابوالفضل شريفي ميناب (ابوالفضل شريفي ميناب) به کارت 5047061024236156 متعلق به عباس بدیعی از اينترنت 115 - پذيرنده سايت اينترنتی - بانک قرض الحسنه رسالت - شماره مرجع 1203721926 شماره پيگيري 441152_سند تراکنش کارت</t>
  </si>
  <si>
    <t>11:50:25</t>
  </si>
  <si>
    <t>خرید شارژ ناشناخته بوسيله کارت 5041721220251467 متعلق به ابوالفضل شريفي ميناب (ابوالفضل شريفي ميناب) از موبايل 94000015 - پذيرنده سامانه موبايل بانک - به پرداخت ملت - شماره مرجع 806418613282 شماره پيگيري 346127_سند تراکنش کارت</t>
  </si>
  <si>
    <t>1405/02/07</t>
  </si>
  <si>
    <t>13:14:44</t>
  </si>
  <si>
    <t>خريد کالا و خدمات با کارت 5041721220251467 متعلق به ابوالفضل شريفي ميناب (ابوالفضل شريفي ميناب) از پايانه فروش 12455347 - پذيرنده کوروش لار میدان طاووس - پرداخت الکترونیک سامان - شماره مرجع 860898938204 شماره پيگيري 986660_سند تراکنش کارت</t>
  </si>
  <si>
    <t>1405/02/12</t>
  </si>
  <si>
    <t>13:06:45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</si>
  <si>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322907920022 شماره پيگيري 23503_سند تراکنش کارت</t>
  </si>
  <si>
    <t>14:35:13</t>
  </si>
  <si>
    <t>انتقال از کارت 5859831192275302 به کارت 5041721220251467 متعلق به ابوالفضل شريفي ميناب (ابوالفضل شريفي ميناب) از اينترنت I000MP01 - بانک تجارت (2) - شماره مرجع 135556330436 شماره پيگيري 170686_سند تراکنش کارت</t>
  </si>
  <si>
    <t>19:10:26</t>
  </si>
  <si>
    <t>واریز پایا IRR,2500135373_واریز پایا بابت شماره پیگیری 140502120192405923 از بانک صادرات شعبه 1900041 توسط حسن عباسی</t>
  </si>
  <si>
    <t>1405/02/15</t>
  </si>
  <si>
    <t>10:29:27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</si>
  <si>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1227528894 شماره پيگيري 248417_سند تراکنش کارت</t>
  </si>
  <si>
    <t>1405/02/16</t>
  </si>
  <si>
    <t>11:11:35</t>
  </si>
  <si>
    <t>انتقال از کارت 5041721220251467 متعلق به ابوالفضل شريفي ميناب (ابوالفضل شريفي ميناب) به کارت 6219861919278282 متعلق به مجید شرفی لاری از اينترنت 115 - پذيرنده سايت اينترنتی - بانک قرض الحسنه رسالت - شماره مرجع 1230107159 شماره پيگيري 826691_سند تراکنش کارت</t>
  </si>
  <si>
    <t>18:00:12</t>
  </si>
  <si>
    <t>خريد کالا و خدمات با کارت 5041721220251467 متعلق به ابوالفضل شريفي ميناب (ابوالفضل شريفي ميناب) از پايانه فروش 80954403 - پذيرنده نمای ندگی تی پاکس - پرداخت الکترونیک پاسارگاد - شماره مرجع 142333015646 شماره پيگيري 541_سند تراکنش کارت</t>
  </si>
  <si>
    <t>22:14:46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</si>
  <si>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142072784529 شماره پيگيري 63125_سند تراکنش کارت</t>
  </si>
  <si>
    <t>1405/02/17</t>
  </si>
  <si>
    <t>10:51:55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</si>
  <si>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1232448107 شماره پيگيري 167673_سند تراکنش کارت</t>
  </si>
  <si>
    <t>10:54:47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</si>
  <si>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1232455856 شماره پيگيري 175423_سند تراکنش کارت</t>
  </si>
  <si>
    <t>1405/02/20</t>
  </si>
  <si>
    <t>16:44:09</t>
  </si>
  <si>
    <t>کارمزد ارسال پیامک اسفند 1404_برداشت بابت فایل (GW-1778430842821)</t>
  </si>
  <si>
    <t>1405/02/23</t>
  </si>
  <si>
    <t>10:21:36</t>
  </si>
  <si>
    <t>خريد کالا و خدمات با کارت 5041721220251467 متعلق به ابوالفضل شريفي ميناب (ابوالفضل شريفي ميناب) از پايانه فروش 80954403 - پذيرنده نمای ندگی تی پاکس - پرداخت الکترونیک پاسارگاد - شماره مرجع 142330353621 شماره پيگيري 639_سند تراکنش کارت</t>
  </si>
  <si>
    <t>11:28:12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</si>
  <si>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1246270460 شماره پيگيري 990185_سند تراکنش کارت</t>
  </si>
  <si>
    <t>12:32:25</t>
  </si>
  <si>
    <t>خريد کالا و خدمات با کارت 5041721220251467 متعلق به ابوالفضل شريفي ميناب (ابوالفضل شريفي ميناب) از پايانه فروش 99266961 - پذيرنده پرداخت الکترونیک سپهر - مبنا کارت آریا (اینفوتک) - شماره مرجع 129696237214 شماره پيگيري 237214_سند تراکنش کارت</t>
  </si>
  <si>
    <t>13:08:51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</si>
  <si>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1246544622 شماره پيگيري 264355_سند تراکنش کارت</t>
  </si>
  <si>
    <t>1405/02/26</t>
  </si>
  <si>
    <t>09:37:55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</si>
  <si>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224613206981 شماره پيگيري 568666_سند تراکنش کارت</t>
  </si>
  <si>
    <t>13:56:13</t>
  </si>
  <si>
    <t>خريد کالا و خدمات با کارت 5041721220251467 متعلق به ابوالفضل شريفي ميناب (ابوالفضل شريفي ميناب) از پايانه فروش 12686364 - پذيرنده سوپرمارکت پدربزرگ - پرداخت الکترونیک سامان - شماره مرجع 861472220576 شماره پيگيري 579032_سند تراکنش کارت</t>
  </si>
  <si>
    <t>1405/02/29</t>
  </si>
  <si>
    <t>11:27:44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</si>
  <si>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1260188363 شماره پيگيري 908251_سند تراکنش کارت</t>
  </si>
  <si>
    <t>1405/02/30</t>
  </si>
  <si>
    <t>10:04:27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</si>
  <si>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861587515166 شماره پيگيري 698622_سند تراکنش کارت</t>
  </si>
  <si>
    <t>10:06:43</t>
  </si>
  <si>
    <t>خريد کالا و خدمات با کارت 5041721220251467 متعلق به ابوالفضل شريفي ميناب (ابوالفضل شريفي ميناب) از پايانه فروش 33480851 - پذيرنده NOT - پرداخت الکترونیک سداد (2) - شماره مرجع 323128283462 شماره پيگيري 39809_سند تراکنش کارت</t>
  </si>
  <si>
    <t>13:06:44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</si>
  <si>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1263062967 شماره پيگيري 782897_سند تراکنش کارت</t>
  </si>
  <si>
    <t>14:09:37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</si>
  <si>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1263231334 شماره پيگيري 951267_سند تراکنش کارت</t>
  </si>
  <si>
    <t>1405/02/31</t>
  </si>
  <si>
    <t>11:19:38</t>
  </si>
  <si>
    <t>خريد کالا و خدمات با کارت 5041721220251467 متعلق به ابوالفضل شريفي ميناب (ابوالفضل شريفي ميناب) از پايانه فروش 9537998 - پذيرنده رنگ فروشی مانی شع به - پرداخت الکترونیک پاسارگاد - شماره مرجع 141046995098 شماره پيگيري 28193_سند تراکنش کارت</t>
  </si>
  <si>
    <t>جمع کل واریزها: 128,770,000 - جمع کل برداشت‌ها: 128,869,952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</si>
  <si>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</si>
  <si>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</si>
  <si>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</si>
  <si>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</si>
  <si>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</si>
  <si>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</si>
  <si>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</si>
  <si>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</si>
  <si>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کارمزد پیامک بانک</t>
  </si>
  <si>
    <t>کارمزد</t>
  </si>
  <si>
    <t>خرید کاغذ دیواری</t>
  </si>
  <si>
    <t xml:space="preserve"> شارژ گوشی خانم صف شکن</t>
  </si>
  <si>
    <t>مایع دستشویی</t>
  </si>
  <si>
    <t>تیپاکس چسب دو طرفه</t>
  </si>
  <si>
    <t>_____</t>
  </si>
  <si>
    <t>بازیافت کارتن</t>
  </si>
  <si>
    <t>حمل بار رضایی</t>
  </si>
  <si>
    <t>26</t>
  </si>
  <si>
    <t>27</t>
  </si>
  <si>
    <t>46</t>
  </si>
  <si>
    <t>خرید سم</t>
  </si>
  <si>
    <t>تیپاکس کلیشه 178800 و تیپاکس شخصی مقداد 367000 تومان</t>
  </si>
  <si>
    <t>29</t>
  </si>
  <si>
    <t>خودکار و دفتر برای بچه ها جهت نمایشگاه</t>
  </si>
  <si>
    <t>30</t>
  </si>
  <si>
    <t>31</t>
  </si>
  <si>
    <t>هزینه پستی برای آقای جدلی</t>
  </si>
  <si>
    <t>کارمزد پیامک</t>
  </si>
  <si>
    <t>34</t>
  </si>
  <si>
    <t>هزینه ی تیپاکس کلیشه</t>
  </si>
  <si>
    <t>35</t>
  </si>
  <si>
    <t>هزینه ی ساخت کلیشه پارت 39</t>
  </si>
  <si>
    <t>36</t>
  </si>
  <si>
    <t>پلاستیک بسته بندی</t>
  </si>
  <si>
    <t>37</t>
  </si>
  <si>
    <t>خرید وایتکس و مایع ظرفشویی</t>
  </si>
  <si>
    <t>39</t>
  </si>
  <si>
    <t>شارژ اینترنت شرکت</t>
  </si>
  <si>
    <t>59</t>
  </si>
  <si>
    <t>باتری کولر اتاق ریاست</t>
  </si>
  <si>
    <t>حمل به حساب آقای رضایی</t>
  </si>
  <si>
    <t>حلوا مسقطی</t>
  </si>
  <si>
    <t>هزینه تیپاکس کلیشه پارت 40</t>
  </si>
  <si>
    <t>عارفه جدلی</t>
  </si>
  <si>
    <t>کلیشه پارت 41</t>
  </si>
  <si>
    <t>خرید رنگ مشکی</t>
  </si>
  <si>
    <t>49</t>
  </si>
  <si>
    <t>51</t>
  </si>
  <si>
    <t>50</t>
  </si>
  <si>
    <t>48</t>
  </si>
  <si>
    <t>خرید کلیشه پارت 38</t>
  </si>
  <si>
    <t>58</t>
  </si>
  <si>
    <t>85 / 86</t>
  </si>
  <si>
    <t>60</t>
  </si>
  <si>
    <t>1405/01/29</t>
  </si>
  <si>
    <t>10:29:35</t>
  </si>
  <si>
    <t>خريد کالا و خدمات با کارت 5041721220251467 متعلق به ابوالفضل شريفي ميناب (ابوالفضل شريفي ميناب) از پايانه فروش 8921247 - پذيرنده پایانه به پرداخت ملت - به پرداخت ملت - شماره مرجع 342368311753 شماره پيگيري 311753_سند تراکنش کارت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</si>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</sst>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sz val="9"/>
      <color theme="1"/>
      <name val="Tahoma"/>
      <family val="2"/>
    </font>
    <font>
      <b/>
      <sz val="9"/>
      <color theme="0"/>
      <name val="Tahoma"/>
      <family val="2"/>
    </font>
    <font>
      <sz val="9"/>
      <name val="Tahoma"/>
      <family val="2"/>
    </font>
    <font>
      <b/>
      <sz val="9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92D050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CCCCC"/>
      </patternFill>
    </fill>
    <fill>
      <patternFill patternType="solid">
        <fgColor rgb="FFFFC000"/>
        <bgColor rgb="FF8B8B8C"/>
      </patternFill>
    </fill>
    <fill>
      <patternFill patternType="solid">
        <fgColor rgb="FFFFC000"/>
        <bgColor indexed="9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6" fillId="11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14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rightToLeft="1" topLeftCell="A20" workbookViewId="0">
      <selection activeCell="H42" sqref="H42"/>
    </sheetView>
  </sheetViews>
  <sheetFormatPr defaultRowHeight="11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1.140625" bestFit="1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4.95" customHeight="1" x14ac:dyDescent="0.15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 ht="24.95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ht="24.95" customHeight="1" x14ac:dyDescent="0.15">
      <c r="A4" s="3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5">
        <v>39000</v>
      </c>
      <c r="G4" s="5">
        <v>0</v>
      </c>
      <c r="H4" s="5">
        <v>48512116</v>
      </c>
      <c r="I4" s="3" t="s">
        <v>2</v>
      </c>
    </row>
    <row r="5" spans="1:9" ht="24.95" customHeight="1" x14ac:dyDescent="0.15">
      <c r="A5" s="2">
        <v>2</v>
      </c>
      <c r="B5" s="2" t="s">
        <v>15</v>
      </c>
      <c r="C5" s="2" t="s">
        <v>16</v>
      </c>
      <c r="D5" s="2" t="s">
        <v>17</v>
      </c>
      <c r="E5" s="2" t="s">
        <v>18</v>
      </c>
      <c r="F5" s="6">
        <v>12200</v>
      </c>
      <c r="G5" s="6">
        <v>0</v>
      </c>
      <c r="H5" s="6">
        <v>48499916</v>
      </c>
      <c r="I5" s="2" t="s">
        <v>2</v>
      </c>
    </row>
    <row r="6" spans="1:9" ht="24.95" customHeight="1" x14ac:dyDescent="0.15">
      <c r="A6" s="3">
        <v>3</v>
      </c>
      <c r="B6" s="3" t="s">
        <v>15</v>
      </c>
      <c r="C6" s="3" t="s">
        <v>16</v>
      </c>
      <c r="D6" s="3" t="s">
        <v>19</v>
      </c>
      <c r="E6" s="3" t="s">
        <v>20</v>
      </c>
      <c r="F6" s="5">
        <v>12500000</v>
      </c>
      <c r="G6" s="5">
        <v>0</v>
      </c>
      <c r="H6" s="5">
        <v>35999916</v>
      </c>
      <c r="I6" s="3" t="s">
        <v>2</v>
      </c>
    </row>
    <row r="7" spans="1:9" ht="24.95" customHeight="1" x14ac:dyDescent="0.15">
      <c r="A7" s="2">
        <v>4</v>
      </c>
      <c r="B7" s="2" t="s">
        <v>15</v>
      </c>
      <c r="C7" s="2" t="s">
        <v>16</v>
      </c>
      <c r="D7" s="2" t="s">
        <v>21</v>
      </c>
      <c r="E7" s="2" t="s">
        <v>22</v>
      </c>
      <c r="F7" s="6">
        <v>220000</v>
      </c>
      <c r="G7" s="6">
        <v>0</v>
      </c>
      <c r="H7" s="6">
        <v>35779916</v>
      </c>
      <c r="I7" s="2" t="s">
        <v>2</v>
      </c>
    </row>
    <row r="8" spans="1:9" ht="24.95" customHeight="1" x14ac:dyDescent="0.15">
      <c r="A8" s="3">
        <v>5</v>
      </c>
      <c r="B8" s="3" t="s">
        <v>15</v>
      </c>
      <c r="C8" s="3" t="s">
        <v>23</v>
      </c>
      <c r="D8" s="3" t="s">
        <v>24</v>
      </c>
      <c r="E8" s="3" t="s">
        <v>25</v>
      </c>
      <c r="F8" s="5">
        <v>4515000</v>
      </c>
      <c r="G8" s="5">
        <v>0</v>
      </c>
      <c r="H8" s="5">
        <v>31264916</v>
      </c>
      <c r="I8" s="3" t="s">
        <v>2</v>
      </c>
    </row>
    <row r="9" spans="1:9" ht="24.95" customHeight="1" x14ac:dyDescent="0.15">
      <c r="A9" s="2">
        <v>6</v>
      </c>
      <c r="B9" s="2" t="s">
        <v>15</v>
      </c>
      <c r="C9" s="2" t="s">
        <v>26</v>
      </c>
      <c r="D9" s="2" t="s">
        <v>27</v>
      </c>
      <c r="E9" s="2" t="s">
        <v>28</v>
      </c>
      <c r="F9" s="6">
        <v>14550000</v>
      </c>
      <c r="G9" s="6">
        <v>0</v>
      </c>
      <c r="H9" s="6">
        <v>16714916</v>
      </c>
      <c r="I9" s="2" t="s">
        <v>2</v>
      </c>
    </row>
    <row r="10" spans="1:9" ht="24.95" customHeight="1" x14ac:dyDescent="0.15">
      <c r="A10" s="3">
        <v>7</v>
      </c>
      <c r="B10" s="3" t="s">
        <v>15</v>
      </c>
      <c r="C10" s="3" t="s">
        <v>26</v>
      </c>
      <c r="D10" s="3" t="s">
        <v>29</v>
      </c>
      <c r="E10" s="3" t="s">
        <v>30</v>
      </c>
      <c r="F10" s="5">
        <v>0</v>
      </c>
      <c r="G10" s="5">
        <v>100000000</v>
      </c>
      <c r="H10" s="5">
        <v>116714916</v>
      </c>
      <c r="I10" s="3" t="s">
        <v>2</v>
      </c>
    </row>
    <row r="11" spans="1:9" ht="24.95" customHeight="1" x14ac:dyDescent="0.15">
      <c r="A11" s="2">
        <v>8</v>
      </c>
      <c r="B11" s="2" t="s">
        <v>15</v>
      </c>
      <c r="C11" s="2" t="s">
        <v>26</v>
      </c>
      <c r="D11" s="2" t="s">
        <v>31</v>
      </c>
      <c r="E11" s="2" t="s">
        <v>32</v>
      </c>
      <c r="F11" s="6">
        <v>0</v>
      </c>
      <c r="G11" s="6">
        <v>28770000</v>
      </c>
      <c r="H11" s="6">
        <v>145484916</v>
      </c>
      <c r="I11" s="2" t="s">
        <v>2</v>
      </c>
    </row>
    <row r="12" spans="1:9" ht="24.95" customHeight="1" x14ac:dyDescent="0.15">
      <c r="A12" s="3">
        <v>9</v>
      </c>
      <c r="B12" s="3" t="s">
        <v>15</v>
      </c>
      <c r="C12" s="3" t="s">
        <v>33</v>
      </c>
      <c r="D12" s="3" t="s">
        <v>34</v>
      </c>
      <c r="E12" s="3" t="s">
        <v>18</v>
      </c>
      <c r="F12" s="5">
        <v>9000</v>
      </c>
      <c r="G12" s="5">
        <v>0</v>
      </c>
      <c r="H12" s="5">
        <v>145475916</v>
      </c>
      <c r="I12" s="3" t="s">
        <v>2</v>
      </c>
    </row>
    <row r="13" spans="1:9" ht="24.95" customHeight="1" x14ac:dyDescent="0.15">
      <c r="A13" s="2">
        <v>10</v>
      </c>
      <c r="B13" s="2" t="s">
        <v>15</v>
      </c>
      <c r="C13" s="2" t="s">
        <v>33</v>
      </c>
      <c r="D13" s="2" t="s">
        <v>34</v>
      </c>
      <c r="E13" s="2" t="s">
        <v>35</v>
      </c>
      <c r="F13" s="6">
        <v>2000000</v>
      </c>
      <c r="G13" s="6">
        <v>0</v>
      </c>
      <c r="H13" s="6">
        <v>143475916</v>
      </c>
      <c r="I13" s="2" t="s">
        <v>2</v>
      </c>
    </row>
    <row r="14" spans="1:9" ht="24.95" customHeight="1" x14ac:dyDescent="0.15">
      <c r="A14" s="3">
        <v>11</v>
      </c>
      <c r="B14" s="3" t="s">
        <v>15</v>
      </c>
      <c r="C14" s="3" t="s">
        <v>36</v>
      </c>
      <c r="D14" s="3" t="s">
        <v>37</v>
      </c>
      <c r="E14" s="3" t="s">
        <v>18</v>
      </c>
      <c r="F14" s="5">
        <v>9000</v>
      </c>
      <c r="G14" s="5">
        <v>0</v>
      </c>
      <c r="H14" s="5">
        <v>143466916</v>
      </c>
      <c r="I14" s="3" t="s">
        <v>2</v>
      </c>
    </row>
    <row r="15" spans="1:9" ht="24.95" customHeight="1" x14ac:dyDescent="0.15">
      <c r="A15" s="2">
        <v>12</v>
      </c>
      <c r="B15" s="2" t="s">
        <v>15</v>
      </c>
      <c r="C15" s="2" t="s">
        <v>36</v>
      </c>
      <c r="D15" s="2" t="s">
        <v>37</v>
      </c>
      <c r="E15" s="2" t="s">
        <v>38</v>
      </c>
      <c r="F15" s="6">
        <v>1500000</v>
      </c>
      <c r="G15" s="6">
        <v>0</v>
      </c>
      <c r="H15" s="6">
        <v>141966916</v>
      </c>
      <c r="I15" s="2" t="s">
        <v>2</v>
      </c>
    </row>
    <row r="16" spans="1:9" ht="24.95" customHeight="1" x14ac:dyDescent="0.15">
      <c r="A16" s="3">
        <v>13</v>
      </c>
      <c r="B16" s="3" t="s">
        <v>15</v>
      </c>
      <c r="C16" s="3" t="s">
        <v>36</v>
      </c>
      <c r="D16" s="3" t="s">
        <v>39</v>
      </c>
      <c r="E16" s="3" t="s">
        <v>40</v>
      </c>
      <c r="F16" s="5">
        <v>5458000</v>
      </c>
      <c r="G16" s="5">
        <v>0</v>
      </c>
      <c r="H16" s="5">
        <v>136508916</v>
      </c>
      <c r="I16" s="3" t="s">
        <v>2</v>
      </c>
    </row>
    <row r="17" spans="1:9" ht="24.95" customHeight="1" x14ac:dyDescent="0.15">
      <c r="A17" s="2">
        <v>14</v>
      </c>
      <c r="B17" s="2" t="s">
        <v>15</v>
      </c>
      <c r="C17" s="2" t="s">
        <v>36</v>
      </c>
      <c r="D17" s="2" t="s">
        <v>41</v>
      </c>
      <c r="E17" s="2" t="s">
        <v>42</v>
      </c>
      <c r="F17" s="6">
        <v>1180000</v>
      </c>
      <c r="G17" s="6">
        <v>0</v>
      </c>
      <c r="H17" s="6">
        <v>135328916</v>
      </c>
      <c r="I17" s="2" t="s">
        <v>2</v>
      </c>
    </row>
    <row r="18" spans="1:9" ht="24.95" customHeight="1" x14ac:dyDescent="0.15">
      <c r="A18" s="3">
        <v>15</v>
      </c>
      <c r="B18" s="3" t="s">
        <v>15</v>
      </c>
      <c r="C18" s="3" t="s">
        <v>43</v>
      </c>
      <c r="D18" s="3" t="s">
        <v>44</v>
      </c>
      <c r="E18" s="3" t="s">
        <v>18</v>
      </c>
      <c r="F18" s="5">
        <v>9000</v>
      </c>
      <c r="G18" s="5">
        <v>0</v>
      </c>
      <c r="H18" s="5">
        <v>135319916</v>
      </c>
      <c r="I18" s="3" t="s">
        <v>2</v>
      </c>
    </row>
    <row r="19" spans="1:9" ht="24.95" customHeight="1" x14ac:dyDescent="0.15">
      <c r="A19" s="2">
        <v>16</v>
      </c>
      <c r="B19" s="2" t="s">
        <v>15</v>
      </c>
      <c r="C19" s="2" t="s">
        <v>43</v>
      </c>
      <c r="D19" s="2" t="s">
        <v>44</v>
      </c>
      <c r="E19" s="2" t="s">
        <v>45</v>
      </c>
      <c r="F19" s="6">
        <v>6000000</v>
      </c>
      <c r="G19" s="6">
        <v>0</v>
      </c>
      <c r="H19" s="6">
        <v>129319916</v>
      </c>
      <c r="I19" s="2" t="s">
        <v>2</v>
      </c>
    </row>
    <row r="20" spans="1:9" ht="24.95" customHeight="1" x14ac:dyDescent="0.15">
      <c r="A20" s="3">
        <v>17</v>
      </c>
      <c r="B20" s="3" t="s">
        <v>15</v>
      </c>
      <c r="C20" s="3" t="s">
        <v>43</v>
      </c>
      <c r="D20" s="3" t="s">
        <v>46</v>
      </c>
      <c r="E20" s="3" t="s">
        <v>18</v>
      </c>
      <c r="F20" s="5">
        <v>18600</v>
      </c>
      <c r="G20" s="5">
        <v>0</v>
      </c>
      <c r="H20" s="5">
        <v>129301316</v>
      </c>
      <c r="I20" s="3" t="s">
        <v>2</v>
      </c>
    </row>
    <row r="21" spans="1:9" ht="24.95" customHeight="1" x14ac:dyDescent="0.15">
      <c r="A21" s="2">
        <v>18</v>
      </c>
      <c r="B21" s="2" t="s">
        <v>15</v>
      </c>
      <c r="C21" s="2" t="s">
        <v>43</v>
      </c>
      <c r="D21" s="2" t="s">
        <v>46</v>
      </c>
      <c r="E21" s="2" t="s">
        <v>47</v>
      </c>
      <c r="F21" s="6">
        <v>38800000</v>
      </c>
      <c r="G21" s="6">
        <v>0</v>
      </c>
      <c r="H21" s="6">
        <v>90501316</v>
      </c>
      <c r="I21" s="2" t="s">
        <v>2</v>
      </c>
    </row>
    <row r="22" spans="1:9" ht="24.95" customHeight="1" x14ac:dyDescent="0.15">
      <c r="A22" s="3">
        <v>19</v>
      </c>
      <c r="B22" s="3" t="s">
        <v>11</v>
      </c>
      <c r="C22" s="3" t="s">
        <v>48</v>
      </c>
      <c r="D22" s="3" t="s">
        <v>49</v>
      </c>
      <c r="E22" s="3" t="s">
        <v>50</v>
      </c>
      <c r="F22" s="5">
        <v>41520</v>
      </c>
      <c r="G22" s="5">
        <v>0</v>
      </c>
      <c r="H22" s="5">
        <v>90459796</v>
      </c>
      <c r="I22" s="3" t="s">
        <v>2</v>
      </c>
    </row>
    <row r="23" spans="1:9" ht="24.95" customHeight="1" x14ac:dyDescent="0.15">
      <c r="A23" s="2">
        <v>20</v>
      </c>
      <c r="B23" s="2" t="s">
        <v>15</v>
      </c>
      <c r="C23" s="2" t="s">
        <v>51</v>
      </c>
      <c r="D23" s="2" t="s">
        <v>52</v>
      </c>
      <c r="E23" s="2" t="s">
        <v>53</v>
      </c>
      <c r="F23" s="6">
        <v>1788000</v>
      </c>
      <c r="G23" s="6">
        <v>0</v>
      </c>
      <c r="H23" s="6">
        <v>88671796</v>
      </c>
      <c r="I23" s="2" t="s">
        <v>2</v>
      </c>
    </row>
    <row r="24" spans="1:9" ht="24.95" customHeight="1" x14ac:dyDescent="0.15">
      <c r="A24" s="3">
        <v>21</v>
      </c>
      <c r="B24" s="3" t="s">
        <v>15</v>
      </c>
      <c r="C24" s="3" t="s">
        <v>51</v>
      </c>
      <c r="D24" s="3" t="s">
        <v>54</v>
      </c>
      <c r="E24" s="3" t="s">
        <v>18</v>
      </c>
      <c r="F24" s="5">
        <v>9000</v>
      </c>
      <c r="G24" s="5">
        <v>0</v>
      </c>
      <c r="H24" s="5">
        <v>88662796</v>
      </c>
      <c r="I24" s="3" t="s">
        <v>2</v>
      </c>
    </row>
    <row r="25" spans="1:9" ht="24.95" customHeight="1" x14ac:dyDescent="0.15">
      <c r="A25" s="2">
        <v>22</v>
      </c>
      <c r="B25" s="2" t="s">
        <v>15</v>
      </c>
      <c r="C25" s="2" t="s">
        <v>51</v>
      </c>
      <c r="D25" s="2" t="s">
        <v>54</v>
      </c>
      <c r="E25" s="2" t="s">
        <v>55</v>
      </c>
      <c r="F25" s="6">
        <v>6000000</v>
      </c>
      <c r="G25" s="6">
        <v>0</v>
      </c>
      <c r="H25" s="6">
        <v>82662796</v>
      </c>
      <c r="I25" s="2" t="s">
        <v>2</v>
      </c>
    </row>
    <row r="26" spans="1:9" ht="24.95" customHeight="1" x14ac:dyDescent="0.15">
      <c r="A26" s="3">
        <v>23</v>
      </c>
      <c r="B26" s="3" t="s">
        <v>15</v>
      </c>
      <c r="C26" s="3" t="s">
        <v>51</v>
      </c>
      <c r="D26" s="3" t="s">
        <v>56</v>
      </c>
      <c r="E26" s="3" t="s">
        <v>57</v>
      </c>
      <c r="F26" s="5">
        <v>3800000</v>
      </c>
      <c r="G26" s="5">
        <v>0</v>
      </c>
      <c r="H26" s="5">
        <v>78862796</v>
      </c>
      <c r="I26" s="3" t="s">
        <v>2</v>
      </c>
    </row>
    <row r="27" spans="1:9" ht="24.95" customHeight="1" x14ac:dyDescent="0.15">
      <c r="A27" s="2">
        <v>24</v>
      </c>
      <c r="B27" s="2" t="s">
        <v>15</v>
      </c>
      <c r="C27" s="2" t="s">
        <v>51</v>
      </c>
      <c r="D27" s="2" t="s">
        <v>58</v>
      </c>
      <c r="E27" s="2" t="s">
        <v>18</v>
      </c>
      <c r="F27" s="6">
        <v>9000</v>
      </c>
      <c r="G27" s="6">
        <v>0</v>
      </c>
      <c r="H27" s="6">
        <v>78853796</v>
      </c>
      <c r="I27" s="2" t="s">
        <v>2</v>
      </c>
    </row>
    <row r="28" spans="1:9" ht="24.95" customHeight="1" x14ac:dyDescent="0.15">
      <c r="A28" s="3">
        <v>25</v>
      </c>
      <c r="B28" s="3" t="s">
        <v>15</v>
      </c>
      <c r="C28" s="3" t="s">
        <v>51</v>
      </c>
      <c r="D28" s="3" t="s">
        <v>58</v>
      </c>
      <c r="E28" s="3" t="s">
        <v>59</v>
      </c>
      <c r="F28" s="5">
        <v>1962620</v>
      </c>
      <c r="G28" s="5">
        <v>0</v>
      </c>
      <c r="H28" s="5">
        <v>76891176</v>
      </c>
      <c r="I28" s="3" t="s">
        <v>2</v>
      </c>
    </row>
    <row r="29" spans="1:9" ht="24.95" customHeight="1" x14ac:dyDescent="0.15">
      <c r="A29" s="2">
        <v>26</v>
      </c>
      <c r="B29" s="2" t="s">
        <v>15</v>
      </c>
      <c r="C29" s="2" t="s">
        <v>60</v>
      </c>
      <c r="D29" s="2" t="s">
        <v>61</v>
      </c>
      <c r="E29" s="2" t="s">
        <v>62</v>
      </c>
      <c r="F29" s="6">
        <v>825000</v>
      </c>
      <c r="G29" s="6">
        <v>0</v>
      </c>
      <c r="H29" s="6">
        <v>76066176</v>
      </c>
      <c r="I29" s="2" t="s">
        <v>2</v>
      </c>
    </row>
    <row r="30" spans="1:9" ht="24.95" customHeight="1" x14ac:dyDescent="0.15">
      <c r="A30" s="3">
        <v>27</v>
      </c>
      <c r="B30" s="3" t="s">
        <v>15</v>
      </c>
      <c r="C30" s="3" t="s">
        <v>60</v>
      </c>
      <c r="D30" s="3" t="s">
        <v>63</v>
      </c>
      <c r="E30" s="3" t="s">
        <v>64</v>
      </c>
      <c r="F30" s="5">
        <v>600000</v>
      </c>
      <c r="G30" s="5">
        <v>0</v>
      </c>
      <c r="H30" s="5">
        <v>75466176</v>
      </c>
      <c r="I30" s="3" t="s">
        <v>2</v>
      </c>
    </row>
    <row r="31" spans="1:9" ht="24.95" customHeight="1" x14ac:dyDescent="0.15">
      <c r="A31" s="2">
        <v>28</v>
      </c>
      <c r="B31" s="2" t="s">
        <v>15</v>
      </c>
      <c r="C31" s="2" t="s">
        <v>65</v>
      </c>
      <c r="D31" s="2" t="s">
        <v>66</v>
      </c>
      <c r="E31" s="2" t="s">
        <v>18</v>
      </c>
      <c r="F31" s="6">
        <v>9000</v>
      </c>
      <c r="G31" s="6">
        <v>0</v>
      </c>
      <c r="H31" s="6">
        <v>75457176</v>
      </c>
      <c r="I31" s="2" t="s">
        <v>2</v>
      </c>
    </row>
    <row r="32" spans="1:9" ht="24.95" customHeight="1" x14ac:dyDescent="0.15">
      <c r="A32" s="3">
        <v>29</v>
      </c>
      <c r="B32" s="3" t="s">
        <v>15</v>
      </c>
      <c r="C32" s="3" t="s">
        <v>65</v>
      </c>
      <c r="D32" s="3" t="s">
        <v>66</v>
      </c>
      <c r="E32" s="3" t="s">
        <v>67</v>
      </c>
      <c r="F32" s="5">
        <v>2500000</v>
      </c>
      <c r="G32" s="5">
        <v>0</v>
      </c>
      <c r="H32" s="5">
        <v>72957176</v>
      </c>
      <c r="I32" s="3" t="s">
        <v>2</v>
      </c>
    </row>
    <row r="33" spans="1:9" ht="24.95" customHeight="1" x14ac:dyDescent="0.15">
      <c r="A33" s="2">
        <v>30</v>
      </c>
      <c r="B33" s="2" t="s">
        <v>15</v>
      </c>
      <c r="C33" s="2" t="s">
        <v>68</v>
      </c>
      <c r="D33" s="2" t="s">
        <v>69</v>
      </c>
      <c r="E33" s="2" t="s">
        <v>70</v>
      </c>
      <c r="F33" s="6">
        <v>5650000</v>
      </c>
      <c r="G33" s="6">
        <v>0</v>
      </c>
      <c r="H33" s="6">
        <v>67307176</v>
      </c>
      <c r="I33" s="2" t="s">
        <v>2</v>
      </c>
    </row>
    <row r="34" spans="1:9" ht="24.95" customHeight="1" x14ac:dyDescent="0.15">
      <c r="A34" s="3">
        <v>31</v>
      </c>
      <c r="B34" s="3" t="s">
        <v>15</v>
      </c>
      <c r="C34" s="3" t="s">
        <v>68</v>
      </c>
      <c r="D34" s="3" t="s">
        <v>71</v>
      </c>
      <c r="E34" s="3" t="s">
        <v>72</v>
      </c>
      <c r="F34" s="5">
        <v>1788012</v>
      </c>
      <c r="G34" s="5">
        <v>0</v>
      </c>
      <c r="H34" s="5">
        <v>65519164</v>
      </c>
      <c r="I34" s="3" t="s">
        <v>2</v>
      </c>
    </row>
    <row r="35" spans="1:9" ht="24.95" customHeight="1" x14ac:dyDescent="0.15">
      <c r="A35" s="2">
        <v>32</v>
      </c>
      <c r="B35" s="2" t="s">
        <v>15</v>
      </c>
      <c r="C35" s="2" t="s">
        <v>68</v>
      </c>
      <c r="D35" s="2" t="s">
        <v>73</v>
      </c>
      <c r="E35" s="2" t="s">
        <v>18</v>
      </c>
      <c r="F35" s="6">
        <v>9000</v>
      </c>
      <c r="G35" s="6">
        <v>0</v>
      </c>
      <c r="H35" s="6">
        <v>65510164</v>
      </c>
      <c r="I35" s="2" t="s">
        <v>2</v>
      </c>
    </row>
    <row r="36" spans="1:9" ht="24.95" customHeight="1" x14ac:dyDescent="0.15">
      <c r="A36" s="3">
        <v>33</v>
      </c>
      <c r="B36" s="3" t="s">
        <v>15</v>
      </c>
      <c r="C36" s="3" t="s">
        <v>68</v>
      </c>
      <c r="D36" s="3" t="s">
        <v>73</v>
      </c>
      <c r="E36" s="3" t="s">
        <v>74</v>
      </c>
      <c r="F36" s="5">
        <v>9000000</v>
      </c>
      <c r="G36" s="5">
        <v>0</v>
      </c>
      <c r="H36" s="5">
        <v>56510164</v>
      </c>
      <c r="I36" s="3" t="s">
        <v>2</v>
      </c>
    </row>
    <row r="37" spans="1:9" ht="24.95" customHeight="1" x14ac:dyDescent="0.15">
      <c r="A37" s="2">
        <v>34</v>
      </c>
      <c r="B37" s="2" t="s">
        <v>15</v>
      </c>
      <c r="C37" s="2" t="s">
        <v>68</v>
      </c>
      <c r="D37" s="2" t="s">
        <v>75</v>
      </c>
      <c r="E37" s="2" t="s">
        <v>18</v>
      </c>
      <c r="F37" s="6">
        <v>9000</v>
      </c>
      <c r="G37" s="6">
        <v>0</v>
      </c>
      <c r="H37" s="6">
        <v>56501164</v>
      </c>
      <c r="I37" s="2" t="s">
        <v>2</v>
      </c>
    </row>
    <row r="38" spans="1:9" ht="24.95" customHeight="1" x14ac:dyDescent="0.15">
      <c r="A38" s="3">
        <v>35</v>
      </c>
      <c r="B38" s="3" t="s">
        <v>15</v>
      </c>
      <c r="C38" s="3" t="s">
        <v>68</v>
      </c>
      <c r="D38" s="3" t="s">
        <v>75</v>
      </c>
      <c r="E38" s="3" t="s">
        <v>76</v>
      </c>
      <c r="F38" s="5">
        <v>6000000</v>
      </c>
      <c r="G38" s="5">
        <v>0</v>
      </c>
      <c r="H38" s="5">
        <v>50501164</v>
      </c>
      <c r="I38" s="3" t="s">
        <v>2</v>
      </c>
    </row>
    <row r="39" spans="1:9" ht="24.95" customHeight="1" x14ac:dyDescent="0.15">
      <c r="A39" s="2">
        <v>36</v>
      </c>
      <c r="B39" s="2" t="s">
        <v>15</v>
      </c>
      <c r="C39" s="2" t="s">
        <v>77</v>
      </c>
      <c r="D39" s="2" t="s">
        <v>78</v>
      </c>
      <c r="E39" s="2" t="s">
        <v>79</v>
      </c>
      <c r="F39" s="6">
        <v>2050000</v>
      </c>
      <c r="G39" s="6">
        <v>0</v>
      </c>
      <c r="H39" s="6">
        <v>48451164</v>
      </c>
      <c r="I39" s="2" t="s">
        <v>2</v>
      </c>
    </row>
    <row r="40" spans="1:9" ht="24.95" customHeight="1" x14ac:dyDescent="0.15">
      <c r="A40" s="34" t="s">
        <v>80</v>
      </c>
      <c r="B40" s="34"/>
      <c r="C40" s="34"/>
      <c r="D40" s="34"/>
      <c r="E40" s="34"/>
      <c r="F40" s="34"/>
      <c r="G40" s="34"/>
      <c r="H40" s="34"/>
      <c r="I40" s="34"/>
    </row>
  </sheetData>
  <mergeCells count="3">
    <mergeCell ref="A1:I1"/>
    <mergeCell ref="A2:I2"/>
    <mergeCell ref="A40:I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7258-BA94-4516-8A88-24D8DE23ACBA}">
  <dimension ref="A1:P42"/>
  <sheetViews>
    <sheetView rightToLeft="1" tabSelected="1" workbookViewId="0">
      <selection activeCell="J13" sqref="J13"/>
    </sheetView>
  </sheetViews>
  <sheetFormatPr defaultColWidth="10.85546875" defaultRowHeight="20.25" customHeight="1" x14ac:dyDescent="0.15"/>
  <cols>
    <col min="1" max="1" width="3" bestFit="1" customWidth="1"/>
    <col min="2" max="2" width="8.28515625" bestFit="1" customWidth="1"/>
    <col min="3" max="3" width="10.42578125" bestFit="1" customWidth="1"/>
    <col min="4" max="4" width="8.140625" bestFit="1" customWidth="1"/>
    <col min="5" max="5" width="87.140625" customWidth="1"/>
    <col min="6" max="7" width="12.42578125" bestFit="1" customWidth="1"/>
    <col min="8" max="8" width="11.140625" bestFit="1" customWidth="1"/>
    <col min="9" max="9" width="8.85546875" customWidth="1"/>
    <col min="10" max="10" width="6.5703125" customWidth="1"/>
    <col min="11" max="11" width="6.7109375" bestFit="1" customWidth="1"/>
    <col min="12" max="12" width="8.7109375" customWidth="1"/>
    <col min="13" max="13" width="6.28515625" bestFit="1" customWidth="1"/>
    <col min="14" max="14" width="9.28515625" bestFit="1" customWidth="1"/>
    <col min="15" max="15" width="6.85546875" bestFit="1" customWidth="1"/>
    <col min="16" max="16" width="48.5703125" bestFit="1" customWidth="1"/>
  </cols>
  <sheetData>
    <row r="1" spans="1:16" ht="20.25" customHeight="1" x14ac:dyDescent="0.15">
      <c r="A1" s="33" t="s">
        <v>0</v>
      </c>
      <c r="B1" s="34"/>
      <c r="C1" s="34"/>
      <c r="D1" s="34"/>
      <c r="E1" s="34"/>
      <c r="F1" s="34"/>
      <c r="G1" s="34"/>
      <c r="H1" s="34"/>
    </row>
    <row r="2" spans="1:16" ht="20.25" customHeight="1" x14ac:dyDescent="0.15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16" ht="20.25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7" t="s">
        <v>81</v>
      </c>
      <c r="J3" s="7" t="s">
        <v>82</v>
      </c>
      <c r="K3" s="7" t="s">
        <v>83</v>
      </c>
      <c r="L3" s="7" t="s">
        <v>84</v>
      </c>
      <c r="M3" s="7" t="s">
        <v>85</v>
      </c>
      <c r="N3" s="7" t="s">
        <v>86</v>
      </c>
      <c r="O3" s="7" t="s">
        <v>87</v>
      </c>
      <c r="P3" s="7" t="s">
        <v>88</v>
      </c>
    </row>
    <row r="4" spans="1:16" s="28" customFormat="1" ht="20.25" customHeight="1" x14ac:dyDescent="0.15">
      <c r="A4" s="29" t="s">
        <v>138</v>
      </c>
      <c r="B4" s="31" t="s">
        <v>15</v>
      </c>
      <c r="C4" s="31" t="s">
        <v>135</v>
      </c>
      <c r="D4" s="31" t="s">
        <v>136</v>
      </c>
      <c r="E4" s="31" t="s">
        <v>137</v>
      </c>
      <c r="F4" s="32">
        <v>300000</v>
      </c>
      <c r="G4" s="32">
        <v>0</v>
      </c>
      <c r="H4" s="32">
        <v>48551116</v>
      </c>
      <c r="I4" s="24">
        <v>11</v>
      </c>
      <c r="J4" s="24"/>
      <c r="K4" s="24"/>
      <c r="L4" s="24">
        <v>91</v>
      </c>
      <c r="M4" s="24"/>
      <c r="N4" s="24"/>
      <c r="O4" s="30"/>
      <c r="P4" s="30"/>
    </row>
    <row r="5" spans="1:16" ht="20.25" customHeight="1" x14ac:dyDescent="0.15">
      <c r="A5" s="18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8">
        <v>39000</v>
      </c>
      <c r="G5" s="5">
        <v>0</v>
      </c>
      <c r="H5" s="5">
        <v>48512116</v>
      </c>
      <c r="I5" s="9"/>
      <c r="J5" s="9"/>
      <c r="K5" s="9"/>
      <c r="L5" s="9"/>
      <c r="M5" s="10">
        <v>15</v>
      </c>
      <c r="N5" s="10">
        <v>33</v>
      </c>
      <c r="O5" s="10">
        <v>39000</v>
      </c>
      <c r="P5" s="9" t="s">
        <v>89</v>
      </c>
    </row>
    <row r="6" spans="1:16" ht="20.25" customHeight="1" x14ac:dyDescent="0.15">
      <c r="A6" s="13">
        <v>2</v>
      </c>
      <c r="B6" s="2" t="s">
        <v>15</v>
      </c>
      <c r="C6" s="2" t="s">
        <v>16</v>
      </c>
      <c r="D6" s="2" t="s">
        <v>17</v>
      </c>
      <c r="E6" s="2" t="s">
        <v>18</v>
      </c>
      <c r="F6" s="11">
        <v>12200</v>
      </c>
      <c r="G6" s="6">
        <v>0</v>
      </c>
      <c r="H6" s="6">
        <v>48499916</v>
      </c>
      <c r="I6" s="9"/>
      <c r="J6" s="9"/>
      <c r="K6" s="9"/>
      <c r="L6" s="9"/>
      <c r="M6" s="10">
        <v>15</v>
      </c>
      <c r="N6" s="10">
        <v>33</v>
      </c>
      <c r="O6" s="10">
        <v>12200</v>
      </c>
      <c r="P6" s="9" t="s">
        <v>90</v>
      </c>
    </row>
    <row r="7" spans="1:16" ht="20.25" customHeight="1" x14ac:dyDescent="0.15">
      <c r="A7" s="18">
        <v>3</v>
      </c>
      <c r="B7" s="3" t="s">
        <v>15</v>
      </c>
      <c r="C7" s="3" t="s">
        <v>16</v>
      </c>
      <c r="D7" s="3" t="s">
        <v>19</v>
      </c>
      <c r="E7" s="3" t="s">
        <v>20</v>
      </c>
      <c r="F7" s="8">
        <v>12500000</v>
      </c>
      <c r="G7" s="5">
        <v>0</v>
      </c>
      <c r="H7" s="5">
        <v>35999916</v>
      </c>
      <c r="I7" s="10">
        <v>17</v>
      </c>
      <c r="J7" s="9"/>
      <c r="K7" s="9"/>
      <c r="L7" s="10">
        <v>35</v>
      </c>
      <c r="M7" s="9"/>
      <c r="N7" s="9"/>
      <c r="O7" s="9"/>
      <c r="P7" s="9" t="s">
        <v>91</v>
      </c>
    </row>
    <row r="8" spans="1:16" ht="20.25" customHeight="1" x14ac:dyDescent="0.15">
      <c r="A8" s="13">
        <v>4</v>
      </c>
      <c r="B8" s="2" t="s">
        <v>15</v>
      </c>
      <c r="C8" s="2" t="s">
        <v>16</v>
      </c>
      <c r="D8" s="2" t="s">
        <v>21</v>
      </c>
      <c r="E8" s="2" t="s">
        <v>22</v>
      </c>
      <c r="F8" s="11">
        <v>220000</v>
      </c>
      <c r="G8" s="6">
        <v>0</v>
      </c>
      <c r="H8" s="6">
        <v>35779916</v>
      </c>
      <c r="I8" s="10">
        <v>16</v>
      </c>
      <c r="J8" s="9"/>
      <c r="K8" s="9"/>
      <c r="L8" s="10">
        <v>34</v>
      </c>
      <c r="M8" s="9"/>
      <c r="N8" s="9"/>
      <c r="O8" s="9"/>
      <c r="P8" s="9" t="s">
        <v>92</v>
      </c>
    </row>
    <row r="9" spans="1:16" ht="20.25" customHeight="1" x14ac:dyDescent="0.15">
      <c r="A9" s="18">
        <v>5</v>
      </c>
      <c r="B9" s="3" t="s">
        <v>15</v>
      </c>
      <c r="C9" s="3" t="s">
        <v>23</v>
      </c>
      <c r="D9" s="3" t="s">
        <v>24</v>
      </c>
      <c r="E9" s="3" t="s">
        <v>25</v>
      </c>
      <c r="F9" s="8">
        <v>4515000</v>
      </c>
      <c r="G9" s="5">
        <v>0</v>
      </c>
      <c r="H9" s="5">
        <v>31264916</v>
      </c>
      <c r="I9" s="10">
        <v>18</v>
      </c>
      <c r="J9" s="9"/>
      <c r="K9" s="9"/>
      <c r="L9" s="10">
        <v>36</v>
      </c>
      <c r="M9" s="9"/>
      <c r="N9" s="9"/>
      <c r="O9" s="9"/>
      <c r="P9" s="9" t="s">
        <v>93</v>
      </c>
    </row>
    <row r="10" spans="1:16" ht="20.25" customHeight="1" x14ac:dyDescent="0.15">
      <c r="A10" s="13">
        <v>6</v>
      </c>
      <c r="B10" s="2" t="s">
        <v>15</v>
      </c>
      <c r="C10" s="2" t="s">
        <v>26</v>
      </c>
      <c r="D10" s="2" t="s">
        <v>27</v>
      </c>
      <c r="E10" s="2" t="s">
        <v>28</v>
      </c>
      <c r="F10" s="11">
        <v>14550000</v>
      </c>
      <c r="G10" s="6">
        <v>0</v>
      </c>
      <c r="H10" s="6">
        <v>16714916</v>
      </c>
      <c r="I10" s="10">
        <v>22</v>
      </c>
      <c r="J10" s="9"/>
      <c r="K10" s="9"/>
      <c r="L10" s="10">
        <v>40</v>
      </c>
      <c r="M10" s="9"/>
      <c r="N10" s="9"/>
      <c r="O10" s="9"/>
      <c r="P10" s="9" t="s">
        <v>94</v>
      </c>
    </row>
    <row r="11" spans="1:16" ht="20.25" customHeight="1" x14ac:dyDescent="0.15">
      <c r="A11" s="18">
        <v>7</v>
      </c>
      <c r="B11" s="3" t="s">
        <v>15</v>
      </c>
      <c r="C11" s="3" t="s">
        <v>26</v>
      </c>
      <c r="D11" s="3" t="s">
        <v>29</v>
      </c>
      <c r="E11" s="3" t="s">
        <v>30</v>
      </c>
      <c r="F11" s="5">
        <v>0</v>
      </c>
      <c r="G11" s="26">
        <v>100000000</v>
      </c>
      <c r="H11" s="5">
        <v>116714916</v>
      </c>
      <c r="I11" s="9"/>
      <c r="J11" s="9"/>
      <c r="K11" s="25">
        <v>26</v>
      </c>
      <c r="L11" s="9"/>
      <c r="M11" s="9"/>
      <c r="N11" s="9"/>
      <c r="O11" s="9"/>
      <c r="P11" s="9" t="s">
        <v>95</v>
      </c>
    </row>
    <row r="12" spans="1:16" ht="20.25" customHeight="1" x14ac:dyDescent="0.15">
      <c r="A12" s="13">
        <v>8</v>
      </c>
      <c r="B12" s="2" t="s">
        <v>15</v>
      </c>
      <c r="C12" s="2" t="s">
        <v>26</v>
      </c>
      <c r="D12" s="2" t="s">
        <v>31</v>
      </c>
      <c r="E12" s="2" t="s">
        <v>32</v>
      </c>
      <c r="F12" s="6">
        <v>0</v>
      </c>
      <c r="G12" s="11">
        <v>28770000</v>
      </c>
      <c r="H12" s="6">
        <v>145484916</v>
      </c>
      <c r="I12" s="9"/>
      <c r="J12" s="10">
        <v>105</v>
      </c>
      <c r="K12" s="10">
        <v>168</v>
      </c>
      <c r="L12" s="9"/>
      <c r="M12" s="9"/>
      <c r="N12" s="9"/>
      <c r="O12" s="9"/>
      <c r="P12" s="9" t="s">
        <v>96</v>
      </c>
    </row>
    <row r="13" spans="1:16" ht="20.25" customHeight="1" x14ac:dyDescent="0.15">
      <c r="A13" s="18">
        <v>9</v>
      </c>
      <c r="B13" s="3" t="s">
        <v>15</v>
      </c>
      <c r="C13" s="3" t="s">
        <v>33</v>
      </c>
      <c r="D13" s="3" t="s">
        <v>34</v>
      </c>
      <c r="E13" s="3" t="s">
        <v>18</v>
      </c>
      <c r="F13" s="8">
        <v>9000</v>
      </c>
      <c r="G13" s="5">
        <v>0</v>
      </c>
      <c r="H13" s="5">
        <v>145475916</v>
      </c>
      <c r="I13" s="9"/>
      <c r="J13" s="9"/>
      <c r="K13" s="9"/>
      <c r="L13" s="9"/>
      <c r="M13" s="10">
        <v>25</v>
      </c>
      <c r="N13" s="10">
        <v>44</v>
      </c>
      <c r="O13" s="10">
        <v>9000</v>
      </c>
      <c r="P13" s="9" t="s">
        <v>90</v>
      </c>
    </row>
    <row r="14" spans="1:16" ht="20.25" customHeight="1" x14ac:dyDescent="0.15">
      <c r="A14" s="13">
        <v>10</v>
      </c>
      <c r="B14" s="2" t="s">
        <v>15</v>
      </c>
      <c r="C14" s="2" t="s">
        <v>33</v>
      </c>
      <c r="D14" s="2" t="s">
        <v>34</v>
      </c>
      <c r="E14" s="2" t="s">
        <v>35</v>
      </c>
      <c r="F14" s="11">
        <v>2000000</v>
      </c>
      <c r="G14" s="6">
        <v>0</v>
      </c>
      <c r="H14" s="6">
        <v>143475916</v>
      </c>
      <c r="I14" s="10">
        <v>21</v>
      </c>
      <c r="J14" s="9"/>
      <c r="K14" s="9"/>
      <c r="L14" s="10">
        <v>39</v>
      </c>
      <c r="M14" s="9"/>
      <c r="N14" s="9"/>
      <c r="O14" s="9"/>
      <c r="P14" s="9" t="s">
        <v>97</v>
      </c>
    </row>
    <row r="15" spans="1:16" ht="20.25" customHeight="1" x14ac:dyDescent="0.15">
      <c r="A15" s="18">
        <v>11</v>
      </c>
      <c r="B15" s="3" t="s">
        <v>15</v>
      </c>
      <c r="C15" s="3" t="s">
        <v>36</v>
      </c>
      <c r="D15" s="3" t="s">
        <v>37</v>
      </c>
      <c r="E15" s="3" t="s">
        <v>18</v>
      </c>
      <c r="F15" s="8">
        <v>9000</v>
      </c>
      <c r="G15" s="5">
        <v>0</v>
      </c>
      <c r="H15" s="5">
        <v>143466916</v>
      </c>
      <c r="I15" s="1"/>
      <c r="J15" s="1"/>
      <c r="K15" s="1"/>
      <c r="L15" s="1"/>
      <c r="M15" s="12" t="s">
        <v>98</v>
      </c>
      <c r="N15" s="10">
        <v>45</v>
      </c>
      <c r="O15" s="10">
        <v>900</v>
      </c>
      <c r="P15" s="9" t="s">
        <v>90</v>
      </c>
    </row>
    <row r="16" spans="1:16" ht="20.25" customHeight="1" x14ac:dyDescent="0.15">
      <c r="A16" s="13">
        <v>12</v>
      </c>
      <c r="B16" s="2" t="s">
        <v>15</v>
      </c>
      <c r="C16" s="2" t="s">
        <v>36</v>
      </c>
      <c r="D16" s="2" t="s">
        <v>37</v>
      </c>
      <c r="E16" s="2" t="s">
        <v>38</v>
      </c>
      <c r="F16" s="11">
        <v>1500000</v>
      </c>
      <c r="G16" s="6">
        <v>0</v>
      </c>
      <c r="H16" s="6">
        <v>141966916</v>
      </c>
      <c r="I16" s="13" t="s">
        <v>99</v>
      </c>
      <c r="J16" s="2"/>
      <c r="K16" s="2"/>
      <c r="L16" s="13" t="s">
        <v>100</v>
      </c>
      <c r="M16" s="2"/>
      <c r="N16" s="6"/>
      <c r="O16" s="6"/>
      <c r="P16" s="6" t="s">
        <v>101</v>
      </c>
    </row>
    <row r="17" spans="1:16" ht="20.25" customHeight="1" x14ac:dyDescent="0.15">
      <c r="A17" s="18">
        <v>13</v>
      </c>
      <c r="B17" s="3" t="s">
        <v>15</v>
      </c>
      <c r="C17" s="3" t="s">
        <v>36</v>
      </c>
      <c r="D17" s="3" t="s">
        <v>39</v>
      </c>
      <c r="E17" s="3" t="s">
        <v>40</v>
      </c>
      <c r="F17" s="8">
        <v>5458000</v>
      </c>
      <c r="G17" s="5">
        <v>0</v>
      </c>
      <c r="H17" s="5">
        <v>136508916</v>
      </c>
      <c r="I17" s="22" t="s">
        <v>132</v>
      </c>
      <c r="J17" s="17"/>
      <c r="K17" s="17"/>
      <c r="L17" s="23" t="s">
        <v>133</v>
      </c>
      <c r="M17" s="14"/>
      <c r="N17" s="14"/>
      <c r="O17" s="14"/>
      <c r="P17" s="23" t="s">
        <v>102</v>
      </c>
    </row>
    <row r="18" spans="1:16" ht="20.25" customHeight="1" x14ac:dyDescent="0.15">
      <c r="A18" s="13">
        <v>14</v>
      </c>
      <c r="B18" s="2" t="s">
        <v>15</v>
      </c>
      <c r="C18" s="2" t="s">
        <v>36</v>
      </c>
      <c r="D18" s="2" t="s">
        <v>41</v>
      </c>
      <c r="E18" s="2" t="s">
        <v>42</v>
      </c>
      <c r="F18" s="11">
        <v>1180000</v>
      </c>
      <c r="G18" s="6">
        <v>0</v>
      </c>
      <c r="H18" s="6">
        <v>135328916</v>
      </c>
      <c r="I18" s="13" t="s">
        <v>103</v>
      </c>
      <c r="J18" s="14"/>
      <c r="K18" s="14"/>
      <c r="L18" s="15">
        <v>48</v>
      </c>
      <c r="M18" s="14"/>
      <c r="N18" s="14"/>
      <c r="O18" s="14"/>
      <c r="P18" s="16" t="s">
        <v>104</v>
      </c>
    </row>
    <row r="19" spans="1:16" ht="20.25" customHeight="1" x14ac:dyDescent="0.15">
      <c r="A19" s="18">
        <v>15</v>
      </c>
      <c r="B19" s="3" t="s">
        <v>15</v>
      </c>
      <c r="C19" s="3" t="s">
        <v>43</v>
      </c>
      <c r="D19" s="3" t="s">
        <v>44</v>
      </c>
      <c r="E19" s="3" t="s">
        <v>18</v>
      </c>
      <c r="F19" s="8">
        <v>9000</v>
      </c>
      <c r="G19" s="5">
        <v>0</v>
      </c>
      <c r="H19" s="5">
        <v>135319916</v>
      </c>
      <c r="I19" s="1"/>
      <c r="J19" s="14"/>
      <c r="K19" s="14"/>
      <c r="L19" s="14"/>
      <c r="M19" s="15">
        <v>32</v>
      </c>
      <c r="N19" s="15">
        <v>51</v>
      </c>
      <c r="O19" s="15">
        <v>900</v>
      </c>
      <c r="P19" s="16" t="s">
        <v>90</v>
      </c>
    </row>
    <row r="20" spans="1:16" ht="20.25" customHeight="1" x14ac:dyDescent="0.15">
      <c r="A20" s="13">
        <v>16</v>
      </c>
      <c r="B20" s="2" t="s">
        <v>15</v>
      </c>
      <c r="C20" s="2" t="s">
        <v>43</v>
      </c>
      <c r="D20" s="2" t="s">
        <v>44</v>
      </c>
      <c r="E20" s="2" t="s">
        <v>45</v>
      </c>
      <c r="F20" s="11">
        <v>6000000</v>
      </c>
      <c r="G20" s="6">
        <v>0</v>
      </c>
      <c r="H20" s="6">
        <v>129319916</v>
      </c>
      <c r="I20" s="13" t="s">
        <v>105</v>
      </c>
      <c r="J20" s="14"/>
      <c r="K20" s="14"/>
      <c r="L20" s="15">
        <v>49</v>
      </c>
      <c r="M20" s="14"/>
      <c r="N20" s="14"/>
      <c r="O20" s="14"/>
      <c r="P20" s="16" t="s">
        <v>131</v>
      </c>
    </row>
    <row r="21" spans="1:16" ht="20.25" customHeight="1" x14ac:dyDescent="0.15">
      <c r="A21" s="18">
        <v>17</v>
      </c>
      <c r="B21" s="3" t="s">
        <v>15</v>
      </c>
      <c r="C21" s="3" t="s">
        <v>43</v>
      </c>
      <c r="D21" s="3" t="s">
        <v>46</v>
      </c>
      <c r="E21" s="3" t="s">
        <v>18</v>
      </c>
      <c r="F21" s="8">
        <v>18600</v>
      </c>
      <c r="G21" s="5">
        <v>0</v>
      </c>
      <c r="H21" s="5">
        <v>129301316</v>
      </c>
      <c r="I21" s="1"/>
      <c r="J21" s="14"/>
      <c r="K21" s="14"/>
      <c r="L21" s="14"/>
      <c r="M21" s="15">
        <v>32</v>
      </c>
      <c r="N21" s="15">
        <v>51</v>
      </c>
      <c r="O21" s="15">
        <v>18600</v>
      </c>
      <c r="P21" s="16" t="s">
        <v>90</v>
      </c>
    </row>
    <row r="22" spans="1:16" ht="20.25" customHeight="1" x14ac:dyDescent="0.15">
      <c r="A22" s="13">
        <v>18</v>
      </c>
      <c r="B22" s="2" t="s">
        <v>15</v>
      </c>
      <c r="C22" s="2" t="s">
        <v>43</v>
      </c>
      <c r="D22" s="2" t="s">
        <v>46</v>
      </c>
      <c r="E22" s="2" t="s">
        <v>47</v>
      </c>
      <c r="F22" s="11">
        <v>38800000</v>
      </c>
      <c r="G22" s="6">
        <v>0</v>
      </c>
      <c r="H22" s="6">
        <v>90501316</v>
      </c>
      <c r="I22" s="13" t="s">
        <v>106</v>
      </c>
      <c r="J22" s="14"/>
      <c r="K22" s="14"/>
      <c r="L22" s="15">
        <v>50</v>
      </c>
      <c r="M22" s="14"/>
      <c r="N22" s="14"/>
      <c r="O22" s="14"/>
      <c r="P22" s="16" t="s">
        <v>107</v>
      </c>
    </row>
    <row r="23" spans="1:16" ht="20.25" customHeight="1" x14ac:dyDescent="0.15">
      <c r="A23" s="18">
        <v>19</v>
      </c>
      <c r="B23" s="3" t="s">
        <v>11</v>
      </c>
      <c r="C23" s="3" t="s">
        <v>48</v>
      </c>
      <c r="D23" s="3" t="s">
        <v>49</v>
      </c>
      <c r="E23" s="3" t="s">
        <v>50</v>
      </c>
      <c r="F23" s="8">
        <v>41520</v>
      </c>
      <c r="G23" s="5">
        <v>0</v>
      </c>
      <c r="H23" s="5">
        <v>90459796</v>
      </c>
      <c r="I23" s="1"/>
      <c r="J23" s="14"/>
      <c r="K23" s="14"/>
      <c r="L23" s="14"/>
      <c r="M23" s="15">
        <v>32</v>
      </c>
      <c r="N23" s="15">
        <v>51</v>
      </c>
      <c r="O23" s="15">
        <v>41520</v>
      </c>
      <c r="P23" s="16" t="s">
        <v>108</v>
      </c>
    </row>
    <row r="24" spans="1:16" ht="20.25" customHeight="1" x14ac:dyDescent="0.15">
      <c r="A24" s="13">
        <v>20</v>
      </c>
      <c r="B24" s="2" t="s">
        <v>15</v>
      </c>
      <c r="C24" s="2" t="s">
        <v>51</v>
      </c>
      <c r="D24" s="2" t="s">
        <v>52</v>
      </c>
      <c r="E24" s="2" t="s">
        <v>53</v>
      </c>
      <c r="F24" s="11">
        <v>1788000</v>
      </c>
      <c r="G24" s="6">
        <v>0</v>
      </c>
      <c r="H24" s="6">
        <v>88671796</v>
      </c>
      <c r="I24" s="13" t="s">
        <v>109</v>
      </c>
      <c r="J24" s="17"/>
      <c r="K24" s="17"/>
      <c r="L24" s="15">
        <v>53</v>
      </c>
      <c r="M24" s="17"/>
      <c r="N24" s="17"/>
      <c r="O24" s="17"/>
      <c r="P24" s="17" t="s">
        <v>110</v>
      </c>
    </row>
    <row r="25" spans="1:16" ht="20.25" customHeight="1" x14ac:dyDescent="0.15">
      <c r="A25" s="18">
        <v>21</v>
      </c>
      <c r="B25" s="3" t="s">
        <v>15</v>
      </c>
      <c r="C25" s="3" t="s">
        <v>51</v>
      </c>
      <c r="D25" s="3" t="s">
        <v>54</v>
      </c>
      <c r="E25" s="3" t="s">
        <v>18</v>
      </c>
      <c r="F25" s="8">
        <v>9000</v>
      </c>
      <c r="G25" s="5">
        <v>0</v>
      </c>
      <c r="H25" s="5">
        <v>88662796</v>
      </c>
      <c r="I25" s="1"/>
      <c r="J25" s="17"/>
      <c r="K25" s="17"/>
      <c r="L25" s="14"/>
      <c r="M25" s="15">
        <v>33</v>
      </c>
      <c r="N25" s="15">
        <v>52</v>
      </c>
      <c r="O25" s="15">
        <v>9000</v>
      </c>
      <c r="P25" s="17" t="s">
        <v>90</v>
      </c>
    </row>
    <row r="26" spans="1:16" ht="20.25" customHeight="1" x14ac:dyDescent="0.15">
      <c r="A26" s="13">
        <v>22</v>
      </c>
      <c r="B26" s="2" t="s">
        <v>15</v>
      </c>
      <c r="C26" s="2" t="s">
        <v>51</v>
      </c>
      <c r="D26" s="2" t="s">
        <v>54</v>
      </c>
      <c r="E26" s="2" t="s">
        <v>55</v>
      </c>
      <c r="F26" s="11">
        <v>6000000</v>
      </c>
      <c r="G26" s="6">
        <v>0</v>
      </c>
      <c r="H26" s="6">
        <v>82662796</v>
      </c>
      <c r="I26" s="13" t="s">
        <v>111</v>
      </c>
      <c r="J26" s="17"/>
      <c r="K26" s="17"/>
      <c r="L26" s="15">
        <v>54</v>
      </c>
      <c r="M26" s="17"/>
      <c r="N26" s="17"/>
      <c r="O26" s="17"/>
      <c r="P26" s="17" t="s">
        <v>112</v>
      </c>
    </row>
    <row r="27" spans="1:16" ht="20.25" customHeight="1" x14ac:dyDescent="0.15">
      <c r="A27" s="18">
        <v>23</v>
      </c>
      <c r="B27" s="3" t="s">
        <v>15</v>
      </c>
      <c r="C27" s="3" t="s">
        <v>51</v>
      </c>
      <c r="D27" s="3" t="s">
        <v>56</v>
      </c>
      <c r="E27" s="3" t="s">
        <v>57</v>
      </c>
      <c r="F27" s="8">
        <v>3800000</v>
      </c>
      <c r="G27" s="5">
        <v>0</v>
      </c>
      <c r="H27" s="5">
        <v>78862796</v>
      </c>
      <c r="I27" s="18" t="s">
        <v>113</v>
      </c>
      <c r="J27" s="17"/>
      <c r="K27" s="17"/>
      <c r="L27" s="15">
        <v>57</v>
      </c>
      <c r="M27" s="17"/>
      <c r="N27" s="17"/>
      <c r="O27" s="17"/>
      <c r="P27" s="19" t="s">
        <v>114</v>
      </c>
    </row>
    <row r="28" spans="1:16" ht="20.25" customHeight="1" x14ac:dyDescent="0.15">
      <c r="A28" s="13">
        <v>24</v>
      </c>
      <c r="B28" s="2" t="s">
        <v>15</v>
      </c>
      <c r="C28" s="2" t="s">
        <v>51</v>
      </c>
      <c r="D28" s="2" t="s">
        <v>58</v>
      </c>
      <c r="E28" s="2" t="s">
        <v>18</v>
      </c>
      <c r="F28" s="11">
        <v>9000</v>
      </c>
      <c r="G28" s="6">
        <v>0</v>
      </c>
      <c r="H28" s="6">
        <v>78853796</v>
      </c>
      <c r="I28" s="1"/>
      <c r="J28" s="17"/>
      <c r="K28" s="17"/>
      <c r="L28" s="14"/>
      <c r="M28" s="15">
        <v>33</v>
      </c>
      <c r="N28" s="15">
        <v>52</v>
      </c>
      <c r="O28" s="15">
        <v>9000</v>
      </c>
      <c r="P28" s="17" t="s">
        <v>90</v>
      </c>
    </row>
    <row r="29" spans="1:16" ht="20.25" customHeight="1" x14ac:dyDescent="0.15">
      <c r="A29" s="18">
        <v>25</v>
      </c>
      <c r="B29" s="3" t="s">
        <v>15</v>
      </c>
      <c r="C29" s="3" t="s">
        <v>51</v>
      </c>
      <c r="D29" s="3" t="s">
        <v>58</v>
      </c>
      <c r="E29" s="3" t="s">
        <v>59</v>
      </c>
      <c r="F29" s="8">
        <v>1962620</v>
      </c>
      <c r="G29" s="5">
        <v>0</v>
      </c>
      <c r="H29" s="5">
        <v>76891176</v>
      </c>
      <c r="I29" s="18" t="s">
        <v>115</v>
      </c>
      <c r="J29" s="17"/>
      <c r="K29" s="17"/>
      <c r="L29" s="15">
        <v>56</v>
      </c>
      <c r="M29" s="17"/>
      <c r="N29" s="17"/>
      <c r="O29" s="17"/>
      <c r="P29" s="17" t="s">
        <v>116</v>
      </c>
    </row>
    <row r="30" spans="1:16" ht="20.25" customHeight="1" x14ac:dyDescent="0.15">
      <c r="A30" s="13">
        <v>26</v>
      </c>
      <c r="B30" s="2" t="s">
        <v>15</v>
      </c>
      <c r="C30" s="2" t="s">
        <v>60</v>
      </c>
      <c r="D30" s="2" t="s">
        <v>61</v>
      </c>
      <c r="E30" s="2" t="s">
        <v>62</v>
      </c>
      <c r="F30" s="11">
        <v>825000</v>
      </c>
      <c r="G30" s="6">
        <v>0</v>
      </c>
      <c r="H30" s="6">
        <v>76066176</v>
      </c>
      <c r="I30" s="20" t="s">
        <v>117</v>
      </c>
      <c r="J30" s="17"/>
      <c r="K30" s="17"/>
      <c r="L30" s="15">
        <v>59</v>
      </c>
      <c r="M30" s="17"/>
      <c r="N30" s="17"/>
      <c r="O30" s="17"/>
      <c r="P30" s="17" t="s">
        <v>118</v>
      </c>
    </row>
    <row r="31" spans="1:16" ht="20.25" customHeight="1" x14ac:dyDescent="0.15">
      <c r="A31" s="18">
        <v>27</v>
      </c>
      <c r="B31" s="3" t="s">
        <v>15</v>
      </c>
      <c r="C31" s="3" t="s">
        <v>60</v>
      </c>
      <c r="D31" s="3" t="s">
        <v>63</v>
      </c>
      <c r="E31" s="3" t="s">
        <v>64</v>
      </c>
      <c r="F31" s="8">
        <v>600000</v>
      </c>
      <c r="G31" s="5">
        <v>0</v>
      </c>
      <c r="H31" s="5">
        <v>75466176</v>
      </c>
      <c r="I31" s="22" t="s">
        <v>119</v>
      </c>
      <c r="J31" s="14"/>
      <c r="K31" s="14"/>
      <c r="L31" s="15">
        <v>87</v>
      </c>
      <c r="M31" s="14"/>
      <c r="N31" s="14"/>
      <c r="O31" s="14"/>
      <c r="P31" s="16" t="s">
        <v>120</v>
      </c>
    </row>
    <row r="32" spans="1:16" ht="20.25" customHeight="1" x14ac:dyDescent="0.15">
      <c r="A32" s="13">
        <v>28</v>
      </c>
      <c r="B32" s="2" t="s">
        <v>15</v>
      </c>
      <c r="C32" s="2" t="s">
        <v>65</v>
      </c>
      <c r="D32" s="2" t="s">
        <v>66</v>
      </c>
      <c r="E32" s="2" t="s">
        <v>18</v>
      </c>
      <c r="F32" s="11">
        <v>9000</v>
      </c>
      <c r="G32" s="6">
        <v>0</v>
      </c>
      <c r="H32" s="6">
        <v>75457176</v>
      </c>
      <c r="I32" s="21" t="s">
        <v>2</v>
      </c>
      <c r="J32" s="14"/>
      <c r="K32" s="14"/>
      <c r="L32" s="14"/>
      <c r="M32" s="15">
        <v>57</v>
      </c>
      <c r="N32" s="15">
        <v>89</v>
      </c>
      <c r="O32" s="15">
        <v>9000</v>
      </c>
      <c r="P32" s="16" t="s">
        <v>90</v>
      </c>
    </row>
    <row r="33" spans="1:16" ht="20.25" customHeight="1" x14ac:dyDescent="0.15">
      <c r="A33" s="18">
        <v>29</v>
      </c>
      <c r="B33" s="3" t="s">
        <v>15</v>
      </c>
      <c r="C33" s="3" t="s">
        <v>65</v>
      </c>
      <c r="D33" s="3" t="s">
        <v>66</v>
      </c>
      <c r="E33" s="3" t="s">
        <v>67</v>
      </c>
      <c r="F33" s="8">
        <v>2500000</v>
      </c>
      <c r="G33" s="5">
        <v>0</v>
      </c>
      <c r="H33" s="5">
        <v>72957176</v>
      </c>
      <c r="I33" s="22" t="s">
        <v>100</v>
      </c>
      <c r="J33" s="14"/>
      <c r="K33" s="14"/>
      <c r="L33" s="15">
        <v>67</v>
      </c>
      <c r="M33" s="14"/>
      <c r="N33" s="14"/>
      <c r="O33" s="14"/>
      <c r="P33" s="16" t="s">
        <v>121</v>
      </c>
    </row>
    <row r="34" spans="1:16" ht="20.25" customHeight="1" x14ac:dyDescent="0.15">
      <c r="A34" s="13">
        <v>30</v>
      </c>
      <c r="B34" s="2" t="s">
        <v>15</v>
      </c>
      <c r="C34" s="2" t="s">
        <v>68</v>
      </c>
      <c r="D34" s="2" t="s">
        <v>69</v>
      </c>
      <c r="E34" s="2" t="s">
        <v>70</v>
      </c>
      <c r="F34" s="11">
        <v>5650000</v>
      </c>
      <c r="G34" s="6">
        <v>0</v>
      </c>
      <c r="H34" s="6">
        <v>67307176</v>
      </c>
      <c r="I34" s="20" t="s">
        <v>130</v>
      </c>
      <c r="J34" s="14"/>
      <c r="K34" s="14"/>
      <c r="L34" s="15">
        <v>69</v>
      </c>
      <c r="M34" s="14"/>
      <c r="N34" s="14"/>
      <c r="O34" s="14"/>
      <c r="P34" s="16" t="s">
        <v>122</v>
      </c>
    </row>
    <row r="35" spans="1:16" ht="20.25" customHeight="1" x14ac:dyDescent="0.15">
      <c r="A35" s="18">
        <v>31</v>
      </c>
      <c r="B35" s="3" t="s">
        <v>15</v>
      </c>
      <c r="C35" s="3" t="s">
        <v>68</v>
      </c>
      <c r="D35" s="3" t="s">
        <v>71</v>
      </c>
      <c r="E35" s="3" t="s">
        <v>72</v>
      </c>
      <c r="F35" s="8">
        <v>1788012</v>
      </c>
      <c r="G35" s="5">
        <v>0</v>
      </c>
      <c r="H35" s="5">
        <v>65519164</v>
      </c>
      <c r="I35" s="22" t="s">
        <v>127</v>
      </c>
      <c r="J35" s="14"/>
      <c r="K35" s="14"/>
      <c r="L35" s="15">
        <v>70</v>
      </c>
      <c r="M35" s="14"/>
      <c r="N35" s="14"/>
      <c r="O35" s="14"/>
      <c r="P35" s="16" t="s">
        <v>123</v>
      </c>
    </row>
    <row r="36" spans="1:16" ht="20.25" customHeight="1" x14ac:dyDescent="0.15">
      <c r="A36" s="13">
        <v>32</v>
      </c>
      <c r="B36" s="2" t="s">
        <v>15</v>
      </c>
      <c r="C36" s="2" t="s">
        <v>68</v>
      </c>
      <c r="D36" s="2" t="s">
        <v>73</v>
      </c>
      <c r="E36" s="2" t="s">
        <v>18</v>
      </c>
      <c r="F36" s="11">
        <v>9000</v>
      </c>
      <c r="G36" s="6">
        <v>0</v>
      </c>
      <c r="H36" s="6">
        <v>65510164</v>
      </c>
      <c r="I36" s="21" t="s">
        <v>2</v>
      </c>
      <c r="J36" s="14"/>
      <c r="K36" s="14"/>
      <c r="L36" s="14"/>
      <c r="M36" s="15">
        <v>57</v>
      </c>
      <c r="N36" s="15">
        <v>89</v>
      </c>
      <c r="O36" s="15">
        <v>9000</v>
      </c>
      <c r="P36" s="16" t="s">
        <v>90</v>
      </c>
    </row>
    <row r="37" spans="1:16" ht="20.25" customHeight="1" x14ac:dyDescent="0.15">
      <c r="A37" s="18">
        <v>33</v>
      </c>
      <c r="B37" s="3" t="s">
        <v>15</v>
      </c>
      <c r="C37" s="3" t="s">
        <v>68</v>
      </c>
      <c r="D37" s="3" t="s">
        <v>73</v>
      </c>
      <c r="E37" s="3" t="s">
        <v>74</v>
      </c>
      <c r="F37" s="8">
        <v>9000000</v>
      </c>
      <c r="G37" s="5">
        <v>0</v>
      </c>
      <c r="H37" s="5">
        <v>56510164</v>
      </c>
      <c r="I37" s="22" t="s">
        <v>129</v>
      </c>
      <c r="J37" s="14"/>
      <c r="K37" s="14"/>
      <c r="L37" s="15">
        <v>71</v>
      </c>
      <c r="M37" s="14"/>
      <c r="N37" s="14"/>
      <c r="O37" s="14"/>
      <c r="P37" s="16" t="s">
        <v>124</v>
      </c>
    </row>
    <row r="38" spans="1:16" ht="20.25" customHeight="1" x14ac:dyDescent="0.15">
      <c r="A38" s="13">
        <v>34</v>
      </c>
      <c r="B38" s="2" t="s">
        <v>15</v>
      </c>
      <c r="C38" s="2" t="s">
        <v>68</v>
      </c>
      <c r="D38" s="2" t="s">
        <v>75</v>
      </c>
      <c r="E38" s="2" t="s">
        <v>18</v>
      </c>
      <c r="F38" s="11">
        <v>9000</v>
      </c>
      <c r="G38" s="6">
        <v>0</v>
      </c>
      <c r="H38" s="6">
        <v>56501164</v>
      </c>
      <c r="I38" s="21" t="s">
        <v>2</v>
      </c>
      <c r="J38" s="14"/>
      <c r="K38" s="14"/>
      <c r="L38" s="14"/>
      <c r="M38" s="15">
        <v>57</v>
      </c>
      <c r="N38" s="15">
        <v>89</v>
      </c>
      <c r="O38" s="15">
        <v>9000</v>
      </c>
      <c r="P38" s="16" t="s">
        <v>90</v>
      </c>
    </row>
    <row r="39" spans="1:16" ht="20.25" customHeight="1" x14ac:dyDescent="0.15">
      <c r="A39" s="18">
        <v>35</v>
      </c>
      <c r="B39" s="3" t="s">
        <v>15</v>
      </c>
      <c r="C39" s="3" t="s">
        <v>68</v>
      </c>
      <c r="D39" s="3" t="s">
        <v>75</v>
      </c>
      <c r="E39" s="3" t="s">
        <v>76</v>
      </c>
      <c r="F39" s="8">
        <v>6000000</v>
      </c>
      <c r="G39" s="5">
        <v>0</v>
      </c>
      <c r="H39" s="5">
        <v>50501164</v>
      </c>
      <c r="I39" s="22" t="s">
        <v>128</v>
      </c>
      <c r="J39" s="14"/>
      <c r="K39" s="14"/>
      <c r="L39" s="15">
        <v>72</v>
      </c>
      <c r="M39" s="14"/>
      <c r="N39" s="14"/>
      <c r="O39" s="14"/>
      <c r="P39" s="16" t="s">
        <v>125</v>
      </c>
    </row>
    <row r="40" spans="1:16" ht="20.25" customHeight="1" x14ac:dyDescent="0.15">
      <c r="A40" s="13">
        <v>36</v>
      </c>
      <c r="B40" s="2" t="s">
        <v>15</v>
      </c>
      <c r="C40" s="2" t="s">
        <v>77</v>
      </c>
      <c r="D40" s="2" t="s">
        <v>78</v>
      </c>
      <c r="E40" s="2" t="s">
        <v>79</v>
      </c>
      <c r="F40" s="11">
        <v>2050000</v>
      </c>
      <c r="G40" s="6">
        <v>0</v>
      </c>
      <c r="H40" s="6">
        <v>48451164</v>
      </c>
      <c r="I40" s="20" t="s">
        <v>134</v>
      </c>
      <c r="J40" s="14"/>
      <c r="K40" s="14"/>
      <c r="L40" s="15">
        <v>88</v>
      </c>
      <c r="M40" s="14"/>
      <c r="N40" s="14"/>
      <c r="O40" s="14"/>
      <c r="P40" s="16" t="s">
        <v>126</v>
      </c>
    </row>
    <row r="41" spans="1:16" ht="20.25" customHeight="1" x14ac:dyDescent="0.15">
      <c r="A41" s="24"/>
      <c r="B41" s="24"/>
      <c r="C41" s="24"/>
      <c r="D41" s="24"/>
      <c r="E41" s="24"/>
      <c r="F41" s="27">
        <f>SUM(F5:F40)</f>
        <v>128869952</v>
      </c>
      <c r="G41" s="27">
        <f>SUM(G5:G40)</f>
        <v>128770000</v>
      </c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20.25" customHeight="1" x14ac:dyDescent="0.15">
      <c r="E42" s="34" t="s">
        <v>80</v>
      </c>
      <c r="F42" s="34"/>
      <c r="G42" s="34"/>
      <c r="H42" s="34"/>
      <c r="I42" s="34"/>
      <c r="J42" s="34"/>
      <c r="K42" s="34"/>
      <c r="L42" s="34"/>
      <c r="M42" s="34"/>
    </row>
  </sheetData>
  <mergeCells count="3">
    <mergeCell ref="A1:H1"/>
    <mergeCell ref="A2:I2"/>
    <mergeCell ref="E42:M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2026-07-30T08:22:48Z</dcterms:modified>
</cp:coreProperties>
</file>