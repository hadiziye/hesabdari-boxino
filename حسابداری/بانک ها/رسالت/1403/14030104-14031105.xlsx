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/>
  <bookViews>
    <workbookView xWindow="0" yWindow="0" windowWidth="28650" windowHeight="12150"/>
  </bookViews>
  <sheets>
    <sheet name="Sheet1" sheetId="2" r:id="rId1"/>
    <sheet name="report3" sheetId="1" r:id="rId2"/>
  </sheets>
  <definedNames>
    <definedName name="_xlnm._FilterDatabase" localSheetId="1" hidden="1">report3!$A$1:$L$225</definedName>
    <definedName name="_xlnm._FilterDatabase" localSheetId="0" hidden="1">Sheet1!$A$1:$F$38</definedName>
    <definedName name="JR_PAGE_ANCHOR_0_1">report3!#REF!</definedName>
  </definedNames>
  <calcPr calcId="162913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2" l="1"/>
  <c r="K28" i="2" l="1"/>
  <c r="D39" i="2" l="1"/>
  <c r="C39" i="2"/>
</calcChain>
</file>

<file path=xl/comments1.xml><?xml version="1.0" encoding="utf-8"?>
<comments xmlns="http://schemas.openxmlformats.org/spreadsheetml/2006/main">
  <authors>
    <author>Author</author>
  </authors>
  <commentList>
    <comment ref="A47" authorId="0" shapeId="0">
      <text>
        <r>
          <rPr>
            <b/>
            <sz val="9"/>
            <color indexed="81"/>
            <rFont val="Tahoma"/>
            <family val="2"/>
          </rPr>
          <t>پرداختی در سیستم ثبتا شده است</t>
        </r>
      </text>
    </comment>
  </commentList>
</comments>
</file>

<file path=xl/sharedStrings.xml><?xml version="1.0" encoding="utf-8"?>
<sst xmlns="http://schemas.openxmlformats.org/spreadsheetml/2006/main" count="1638" uniqueCount="849">
  <si>
    <t>یادداشت</t>
  </si>
  <si>
    <t>مانده</t>
  </si>
  <si>
    <t>واریز</t>
  </si>
  <si>
    <t>برداشت</t>
  </si>
  <si>
    <t>توضیحات</t>
  </si>
  <si>
    <t>شماره چک</t>
  </si>
  <si>
    <t>شماره قبض</t>
  </si>
  <si>
    <t>شماره سند</t>
  </si>
  <si>
    <t>ساعت</t>
  </si>
  <si>
    <t>تاریخ</t>
  </si>
  <si>
    <t>شعبه</t>
  </si>
  <si>
    <t>ردیف</t>
  </si>
  <si>
    <t>انتقال از کارت 6104337910200466 به کارت 5041721220251467 متعلق به ابوالفضل شريفي ميناب (ابوالفضل شريفي ميناب) از اينترنت 200 - پذيرنده پایانه بانک ملت - بانک ملت - شماره مرجع 157565663817 شماره پيگيري 663817_سند تراکنش کارت</t>
  </si>
  <si>
    <t>I13117038837</t>
  </si>
  <si>
    <t>1-1403-10-IRR-9088281157</t>
  </si>
  <si>
    <t>20:26:46</t>
  </si>
  <si>
    <t>1403/11/03</t>
  </si>
  <si>
    <t>ستاد</t>
  </si>
  <si>
    <t>خريد کالا و خدمات با کارت 5041721220251467 متعلق به ابوالفضل شريفي ميناب (ابوالفضل شريفي ميناب) از پايانه فروش 14644007 - پذيرنده ابزار نادر - پرداخت الکترونیک سامان - شماره مرجع 847538293612 شماره پيگيري 682068_سند تراکنش کارت</t>
  </si>
  <si>
    <t>I13115608501</t>
  </si>
  <si>
    <t>1-1403-10-IRR-9093956897</t>
  </si>
  <si>
    <t>17:38:19</t>
  </si>
  <si>
    <t>خريد کالا و خدمات با کارت 5041721220251467 متعلق به ابوالفضل شريفي ميناب (ابوالفضل شريفي ميناب) از پايانه فروش 23071157 - پذيرنده Not - پرداخت الکترونیک سداد (2) - شماره مرجع 325749639257 شماره پيگيري 64534_سند تراکنش کارت</t>
  </si>
  <si>
    <t>I13115596781</t>
  </si>
  <si>
    <t>1-1403-10-IRR-9093953744</t>
  </si>
  <si>
    <t>17:36:54</t>
  </si>
  <si>
    <t>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510560092114 شماره پيگيري 376089_سند تراکنش کارت</t>
  </si>
  <si>
    <t>I13113947892</t>
  </si>
  <si>
    <t>1-1403-10-IRR-9093466217</t>
  </si>
  <si>
    <t>13:16:36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</si>
  <si>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141010709138 شماره پيگيري 1460_سند تراکنش کارت</t>
  </si>
  <si>
    <t>I13112773474</t>
  </si>
  <si>
    <t>1-1403-10-IRR-9087119412</t>
  </si>
  <si>
    <t>10:53:02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</si>
  <si>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847464733276 شماره پيگيري 951732_سند تراکنش کارت</t>
  </si>
  <si>
    <t>I13097651200</t>
  </si>
  <si>
    <t>1-1403-10-IRR-9072420850</t>
  </si>
  <si>
    <t>09:56:53</t>
  </si>
  <si>
    <t>1403/11/01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</si>
  <si>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847361666698 شماره پيگيري 470154_سند تراکنش کارت</t>
  </si>
  <si>
    <t>I13072916787</t>
  </si>
  <si>
    <t>1-1403-10-IRR-9033885163</t>
  </si>
  <si>
    <t>09:37:52</t>
  </si>
  <si>
    <t>1403/10/27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</si>
  <si>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847361662574 شماره پيگيري 456030_سند تراکنش کارت</t>
  </si>
  <si>
    <t>I13072915003</t>
  </si>
  <si>
    <t>1-1403-10-IRR-9039933542</t>
  </si>
  <si>
    <t>09:37:30</t>
  </si>
  <si>
    <t>خريد کالا و خدمات با کارت 5041721220251467 متعلق به ابوالفضل شريفي ميناب (ابوالفضل شريفي ميناب) از اينترنت 2002002 - کارت اعتباری ایران کیش - شماره مرجع 415051632325 شماره پيگيري 531173_سند تراکنش کارت</t>
  </si>
  <si>
    <t>I13068303798</t>
  </si>
  <si>
    <t>1-1403-10-IRR-9028942130</t>
  </si>
  <si>
    <t>13:04:06</t>
  </si>
  <si>
    <t>1403/10/26</t>
  </si>
  <si>
    <t>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510500728231 شماره پيگيري 476202_سند تراکنش کارت</t>
  </si>
  <si>
    <t>I13067704346</t>
  </si>
  <si>
    <t>1-1403-10-IRR-9028788612</t>
  </si>
  <si>
    <t>11:40:59</t>
  </si>
  <si>
    <t>خريد کالا و خدمات با کارت 5041721220251467 متعلق به ابوالفضل شريفي ميناب (ابوالفضل شريفي ميناب) از پايانه فروش 70537077 - پذيرنده رنگ فروشی مانی - پرداخت الکترونیک پاسارگاد - شماره مرجع 142055601281 شماره پيگيري 9345_سند تراکنش کارت</t>
  </si>
  <si>
    <t>I13067480415</t>
  </si>
  <si>
    <t>1-1403-10-IRR-9025719241</t>
  </si>
  <si>
    <t>11:11:18</t>
  </si>
  <si>
    <t>خريد کالا و خدمات با کارت 5041721220251467 متعلق به ابوالفضل شريفي ميناب (ابوالفضل شريفي ميناب) از پايانه فروش 92111864 - پذيرنده خ راز ک امل - تجارت الکترونیک پارسیان - شماره مرجع 808365624579 شماره پيگيري 602007_سند تراکنش کارت</t>
  </si>
  <si>
    <t>I13047198587</t>
  </si>
  <si>
    <t>1-1403-10-IRR-8993325416</t>
  </si>
  <si>
    <t>19:54:59</t>
  </si>
  <si>
    <t>1403/10/22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</si>
  <si>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093741001966 شماره پيگيري 1966_سند تراکنش کارت</t>
  </si>
  <si>
    <t>I13044518146</t>
  </si>
  <si>
    <t>1-1403-10-IRR-8998579301</t>
  </si>
  <si>
    <t>13:02:49</t>
  </si>
  <si>
    <t>خريد کالا و خدمات با کارت 5041721220251467 متعلق به ابوالفضل شريفي ميناب (ابوالفضل شريفي ميناب) از پايانه فروش 33642264 - پذيرنده Not - پرداخت الکترونیک سداد (2) - شماره مرجع 325586224329 شماره پيگيري 4518_سند تراکنش کارت</t>
  </si>
  <si>
    <t>I13030200150</t>
  </si>
  <si>
    <t>1-1403-10-IRR-8966236644</t>
  </si>
  <si>
    <t>18:46:22</t>
  </si>
  <si>
    <t>1403/10/19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</si>
  <si>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179296790 شماره پيگيري 165364_سند تراکنش کارت</t>
  </si>
  <si>
    <t>I13028430180</t>
  </si>
  <si>
    <t>1-1403-10-IRR-8965764691</t>
  </si>
  <si>
    <t>14:06:02</t>
  </si>
  <si>
    <t>برداشت از سپرده بابت کارمزد انتقال کارت به کارت و کارت به شبا(نامه 02.32780)_سند تراکنش کارت</t>
  </si>
  <si>
    <t>خريد کالا و خدمات با کارت 5041721220251467 متعلق به ابوالفضل شريفي ميناب (ابوالفضل شريفي ميناب) از پايانه فروش 92217732 - پذيرنده رنگ فروشی مانی - تجارت الکترونیک پارسیان - شماره مرجع 745400563940 شماره پيگيري 218941_سند تراکنش کارت</t>
  </si>
  <si>
    <t>I13027760070</t>
  </si>
  <si>
    <t>1-1403-10-IRR-8965590734</t>
  </si>
  <si>
    <t>12:28:54</t>
  </si>
  <si>
    <t>خريد کالا و خدمات با کارت 5041721220251467 متعلق به ابوالفضل شريفي ميناب (ابوالفضل شريفي ميناب) از پايانه فروش 7133465 - پذيرنده پایانه به پرداخت ملت - به پرداخت ملت - شماره مرجع 295580198302 شماره پيگيري 198302_سند تراکنش کارت</t>
  </si>
  <si>
    <t>I13027411363</t>
  </si>
  <si>
    <t>1-1403-10-IRR-8971498985</t>
  </si>
  <si>
    <t>11:43:18</t>
  </si>
  <si>
    <t>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510427203404 شماره پيگيري 765076_سند تراکنش کارت</t>
  </si>
  <si>
    <t>I13014329385</t>
  </si>
  <si>
    <t>1-1403-10-IRR-8950081012</t>
  </si>
  <si>
    <t>08:39:19</t>
  </si>
  <si>
    <t>1403/10/17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</si>
  <si>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172440633 شماره پيگيري 309118_سند تراکنش کارت</t>
  </si>
  <si>
    <t>I13009246613</t>
  </si>
  <si>
    <t>1-1403-10-IRR-8941457866</t>
  </si>
  <si>
    <t>11:17:35</t>
  </si>
  <si>
    <t>1403/10/16</t>
  </si>
  <si>
    <t>خريد کالا و خدمات با کارت 5041721220251467 متعلق به ابوالفضل شريفي ميناب (ابوالفضل شريفي ميناب) از پايانه فروش 11935586 - پذيرنده بازی های تفریحی زرین - پرداخت نوین آرین - شماره مرجع 500420780547 شماره پيگيري 780547_سند تراکنش کارت</t>
  </si>
  <si>
    <t>I13006775311</t>
  </si>
  <si>
    <t>1-1403-10-IRR-8930403745</t>
  </si>
  <si>
    <t>20:10:27</t>
  </si>
  <si>
    <t>1403/10/15</t>
  </si>
  <si>
    <t>خريد کالا و خدمات با کارت 5041721220251467 متعلق به ابوالفضل شريفي ميناب (ابوالفضل شريفي ميناب) از پايانه فروش 2189988 - پذيرنده شیرینی فدک - فن آوا کارت - شماره مرجع 093732386657 شماره پيگيري 386657_سند تراکنش کارت</t>
  </si>
  <si>
    <t>I12996590526</t>
  </si>
  <si>
    <t>1-1403-10-IRR-8916456788</t>
  </si>
  <si>
    <t>20:24:52</t>
  </si>
  <si>
    <t>1403/10/13</t>
  </si>
  <si>
    <t>خريد کالا و خدمات با کارت 5041721220251467 متعلق به ابوالفضل شريفي ميناب (ابوالفضل شريفي ميناب) از پايانه فروش 7777661 - پذيرنده پایانه به پرداخت ملت - به پرداخت ملت - شماره مرجع 295055641930 شماره پيگيري 641930_سند تراکنش کارت</t>
  </si>
  <si>
    <t>I12993881395</t>
  </si>
  <si>
    <t>1-1403-10-IRR-8912725472</t>
  </si>
  <si>
    <t>13:05:56</t>
  </si>
  <si>
    <t>خريد کالا و خدمات با کارت 5041721220251467 متعلق به ابوالفضل شريفي ميناب (ابوالفضل شريفي ميناب) از پايانه فروش 33075607 - پذيرنده Not - پرداخت الکترونیک سداد (2) - شماره مرجع 325512539899 شماره پيگيري 40568_سند تراکنش کارت</t>
  </si>
  <si>
    <t>I12993816693</t>
  </si>
  <si>
    <t>1-1403-10-IRR-8912709595</t>
  </si>
  <si>
    <t>12:57:14</t>
  </si>
  <si>
    <t>بند  برگشتی خريد کالا و خدمات با کارت 5041721220251467 متعلق به ابوالفضل شريفي ميناب (ابوالفضل شريفي ميناب) از پايانه فروش 5423910 - کارت اعتباری ایران کیش - شماره مرجع 239100014673 شماره پيگيري 13044_سند برگشتی: سند تراکنش کارت(1-1403-10-IRR-8915613065)</t>
  </si>
  <si>
    <t>1000/I12993488207/79_reversed_specialOrganizations</t>
  </si>
  <si>
    <t>1-1403-10-IRR-8918574058</t>
  </si>
  <si>
    <t>12:17:32</t>
  </si>
  <si>
    <t>انتقال از کارت 5041721220251467 متعلق به ابوالفضل شريفي ميناب (ابوالفضل شريفي ميناب) به کارت 5892101463069431 متعلق به حسن سحرخیز از اينترنت 115 - پذيرنده سامانه پرداخت همراه بانک - بانک قرض الحسنه رسالت - شماره مرجع 166907813 شماره پيگيري 776227_سند تراکنش کارت</t>
  </si>
  <si>
    <t>I12993507368</t>
  </si>
  <si>
    <t>1-1403-10-IRR-8915618393</t>
  </si>
  <si>
    <t>12:17:23</t>
  </si>
  <si>
    <t>خريد کالا و خدمات با کارت 5041721220251467 متعلق به ابوالفضل شريفي ميناب (ابوالفضل شريفي ميناب) از پايانه فروش 5423910 - کارت اعتباری ایران کیش - شماره مرجع 239100014673 شماره پيگيري 13044_سند تراکنش کارت</t>
  </si>
  <si>
    <t>I12993488207</t>
  </si>
  <si>
    <t>1-1403-10-IRR-8915613065</t>
  </si>
  <si>
    <t>12:12:54</t>
  </si>
  <si>
    <t>خريد کالا و خدمات با کارت 5041721220251467 متعلق به ابوالفضل شريفي ميناب (ابوالفضل شريفي ميناب) از پايانه فروش 12455346 - پذيرنده کوروش لار میدان طاووس - پرداخت الکترونیک سامان - شماره مرجع 846982052555 شماره پيگيري 951011_سند تراکنش کارت</t>
  </si>
  <si>
    <t>I12992950987</t>
  </si>
  <si>
    <t>1-1403-10-IRR-8915463864</t>
  </si>
  <si>
    <t>11:02:46</t>
  </si>
  <si>
    <t>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128307727000 شماره پيگيري 727000_سند تراکنش کارت</t>
  </si>
  <si>
    <t>I12992917778</t>
  </si>
  <si>
    <t>1-1403-10-IRR-8915447543</t>
  </si>
  <si>
    <t>10:58:04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</si>
  <si>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165927054 شماره پيگيري 795462_سند تراکنش کارت</t>
  </si>
  <si>
    <t>I12990872134</t>
  </si>
  <si>
    <t>1-1403-10-IRR-8904458705</t>
  </si>
  <si>
    <t>20:28:07</t>
  </si>
  <si>
    <t>1403/10/12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</si>
  <si>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142075980190 شماره پيگيري 466_سند تراکنش کارت</t>
  </si>
  <si>
    <t>I12984822881</t>
  </si>
  <si>
    <t>1-1403-10-IRR-8898541930</t>
  </si>
  <si>
    <t>20:16:50</t>
  </si>
  <si>
    <t>1403/10/11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</si>
  <si>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142073457549 شماره پيگيري 220_سند تراکنش کارت</t>
  </si>
  <si>
    <t>I12975675401</t>
  </si>
  <si>
    <t>1-1403-10-IRR-8889197480</t>
  </si>
  <si>
    <t>12:40:18</t>
  </si>
  <si>
    <t>1403/10/10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</si>
  <si>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141014210868 شماره پيگيري 3744_سند تراکنش کارت</t>
  </si>
  <si>
    <t>I12975633676</t>
  </si>
  <si>
    <t>1-1403-10-IRR-8883175287</t>
  </si>
  <si>
    <t>12:35:02</t>
  </si>
  <si>
    <t>خريد کالا و خدمات با کارت 5041721220251467 متعلق به ابوالفضل شريفي ميناب (ابوالفضل شريفي ميناب) از پايانه فروش 92192480 - پذيرنده فروشکاه رحیمی - تجارت الکترونیک پارسیان - شماره مرجع 745314343084 شماره پيگيري 443085_سند تراکنش کارت</t>
  </si>
  <si>
    <t>I12971159151</t>
  </si>
  <si>
    <t>1-1403-10-IRR-8880734728</t>
  </si>
  <si>
    <t>17:41:21</t>
  </si>
  <si>
    <t>1403/10/09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</si>
  <si>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156070205 شماره پيگيري 938796_سند تراکنش کارت</t>
  </si>
  <si>
    <t>I12963254834</t>
  </si>
  <si>
    <t>1-1403-10-IRR-8871219494</t>
  </si>
  <si>
    <t>12:46:59</t>
  </si>
  <si>
    <t>1403/10/08</t>
  </si>
  <si>
    <t>خريد کالا و خدمات با کارت 5041721220251467 متعلق به ابوالفضل شريفي ميناب (ابوالفضل شريفي ميناب) از پايانه فروش 64026842 - پذيرنده پرداخت الکترونیک سپهر - مبنا کارت آریا (اینفوتک) - شماره مرجع 128284125310 شماره پيگيري 125310_سند تراکنش کارت</t>
  </si>
  <si>
    <t>I12955864303</t>
  </si>
  <si>
    <t>1-1403-10-IRR-8854645852</t>
  </si>
  <si>
    <t>20:51:10</t>
  </si>
  <si>
    <t>1403/10/06</t>
  </si>
  <si>
    <t>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128282823788 شماره پيگيري 823788_سند تراکنش کارت</t>
  </si>
  <si>
    <t>I12954349275</t>
  </si>
  <si>
    <t>1-1403-10-IRR-8848393802</t>
  </si>
  <si>
    <t>17:28:14</t>
  </si>
  <si>
    <t>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128281024298 شماره پيگيري 24298_سند تراکنش کارت</t>
  </si>
  <si>
    <t>I12952301607</t>
  </si>
  <si>
    <t>1-1403-10-IRR-8850851106</t>
  </si>
  <si>
    <t>12:08:22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</si>
  <si>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325427128515 شماره پيگيري 18325_سند تراکنش کارت</t>
  </si>
  <si>
    <t>I12951259336</t>
  </si>
  <si>
    <t>1-1403-10-IRR-8850553761</t>
  </si>
  <si>
    <t>09:52:58</t>
  </si>
  <si>
    <t>انتقال از کارت 6037997514701326 به کارت 5041721220251467 متعلق به ابوالفضل شريفي ميناب (ابوالفضل شريفي ميناب) از اينترنت 17592030 - پذيرنده ص خشمان - بانک ملی - شماره مرجع 994681817466 شماره پيگيري 23115_سند تراکنش کارت</t>
  </si>
  <si>
    <t>I12941245243</t>
  </si>
  <si>
    <t>1-1403-10-IRR-8830902021</t>
  </si>
  <si>
    <t>17:02:07</t>
  </si>
  <si>
    <t>1403/10/04</t>
  </si>
  <si>
    <t>خريد کالا و خدمات با کارت 5041721220251467 متعلق به ابوالفضل شريفي ميناب (ابوالفضل شريفي ميناب) از پايانه فروش 795185 - پذيرنده ساع ت رولکس - پرداخت الکترونیک پاسارگاد - شماره مرجع 141010701765 شماره پيگيري 8873_سند تراکنش کارت</t>
  </si>
  <si>
    <t>I12925997558</t>
  </si>
  <si>
    <t>1-1403-10-IRR-8815490207</t>
  </si>
  <si>
    <t>12:33:14</t>
  </si>
  <si>
    <t>1403/10/02</t>
  </si>
  <si>
    <t>انتقال از کارت 5041721220251467 متعلق به ابوالفضل شريفي ميناب (ابوالفضل شريفي ميناب) به کارت 6104338691886879 متعلق به  رضا  جعفری طادی از اينترنت 115 - پذيرنده سامانه پرداخت همراه بانک - بانک قرض الحسنه رسالت - شماره مرجع 142337714 شماره پيگيري 206135_سند تراکنش کارت</t>
  </si>
  <si>
    <t>I12925343470</t>
  </si>
  <si>
    <t>1-1403-10-IRR-8815315730</t>
  </si>
  <si>
    <t>11:15:54</t>
  </si>
  <si>
    <t>انتقال از کارت 6104337683296758 به کارت 5041721220251467 متعلق به ابوالفضل شريفي ميناب (ابوالفضل شريفي ميناب) از اينترنت 200 - پذيرنده پایانه بانک ملت - بانک ملت - شماره مرجع 156267044637 شماره پيگيري 44637_سند تراکنش کارت</t>
  </si>
  <si>
    <t>I12921069644</t>
  </si>
  <si>
    <t>1-1403-10-IRR-8810407549</t>
  </si>
  <si>
    <t>18:02:46</t>
  </si>
  <si>
    <t>1403/10/01</t>
  </si>
  <si>
    <t>ثبت پایا با شماره پیگیری 140310010702400935 به مقصد بانک صادرات و شبای IR130190000000112537186009 و ذینفع سیدمحمد چاوشی‌- انتقالی_ثبت پایا در شعبه بانکداري مدرن 1</t>
  </si>
  <si>
    <t>1734778730826_99990003</t>
  </si>
  <si>
    <t>1-1403-10-IRR-8803504160</t>
  </si>
  <si>
    <t>10:58:52</t>
  </si>
  <si>
    <t>دریافت کارمزد ثبت پایا با شماره پیگیری 140310010702400935 _انتقالی _دریافت کارمزد ثبت پایا</t>
  </si>
  <si>
    <t>10:58:51</t>
  </si>
  <si>
    <t>انتقال از کارت 6104338624693293 به کارت 5041721220251467 متعلق به ابوالفضل شريفي ميناب (ابوالفضل شريفي ميناب) از اينترنت 200 - پذيرنده پایانه بانک ملت - بانک ملت - شماره مرجع 156159493326 شماره پيگيري 493326_سند تراکنش کارت</t>
  </si>
  <si>
    <t>I12905241093</t>
  </si>
  <si>
    <t>1-1403-10-IRR-8786123009</t>
  </si>
  <si>
    <t>11:26:54</t>
  </si>
  <si>
    <t>1403/09/29</t>
  </si>
  <si>
    <t>خريد کالا و خدمات با کارت 5041721220251467 متعلق به ابوالفضل شريفي ميناب (ابوالفضل شريفي ميناب) از پايانه فروش 13518438 - کارت اعتباری ایران کیش - شماره مرجع 184383538491 شماره پيگيري 13696_سند تراکنش کارت</t>
  </si>
  <si>
    <t>I12904998040</t>
  </si>
  <si>
    <t>1-1403-10-IRR-8789041765</t>
  </si>
  <si>
    <t>10:59:59</t>
  </si>
  <si>
    <t>ثبت پایا با شماره پیگیری 140309290702230592 به مقصد بانک صادرات و شبای IR250190000000115378561009 و ذینفع ‌احمد ‌علی‌ بخشی‌- انتقالی_ثبت پایا در شعبه بانکداري مدرن 1</t>
  </si>
  <si>
    <t>1734567955803_99990003</t>
  </si>
  <si>
    <t>1-1403-10-IRR-8784648456</t>
  </si>
  <si>
    <t>00:25:56</t>
  </si>
  <si>
    <t>دریافت کارمزد ثبت پایا با شماره پیگیری 140309290702230592 _انتقالی _دریافت کارمزد ثبت پایا</t>
  </si>
  <si>
    <t>انتقال از کارت 6393461040541969 به کارت 5041721220251467 متعلق به ابوالفضل شريفي ميناب (ابوالفضل شريفي ميناب) از خودپرداز 1297 - پذيرنده گراش - بانک پارسیان - شماره مرجع 732906062238 شماره پيگيري 555034_سند تراکنش کارت</t>
  </si>
  <si>
    <t>I12902148322</t>
  </si>
  <si>
    <t>1-1403-10-IRR-8781080097</t>
  </si>
  <si>
    <t>20:06:44</t>
  </si>
  <si>
    <t>1403/09/28</t>
  </si>
  <si>
    <t>انتقال از کارت 6063731233144071 به کارت 5041721220251467 متعلق به ابوالفضل شريفي ميناب (ابوالفضل شريفي ميناب) از خودپرداز 2407 - پذيرنده گراش - بانک پارسیان - شماره مرجع 732905995758 شماره پيگيري 534553_سند تراکنش کارت</t>
  </si>
  <si>
    <t>I12902021184</t>
  </si>
  <si>
    <t>1-1403-10-IRR-8784281386</t>
  </si>
  <si>
    <t>19:51:59</t>
  </si>
  <si>
    <t>انتقال از کارت 5057851028687843 به کارت 5041721220251467 متعلق به ابوالفضل شريفي ميناب (ابوالفضل شريفي ميناب) از خودپرداز 74305373 - بانک تجارت (2) - شماره مرجع 537335271401 شماره پيگيري 537391_سند تراکنش کارت</t>
  </si>
  <si>
    <t>I12902004264</t>
  </si>
  <si>
    <t>1-1403-10-IRR-8781046473</t>
  </si>
  <si>
    <t>19:50:04</t>
  </si>
  <si>
    <t>انتقال از کارت 5892101597650528 به کارت 5041721220251467 متعلق به ابوالفضل شريفي ميناب (ابوالفضل شريفي ميناب) از خودپرداز 74305373 - بانک تجارت (2) - شماره مرجع 537335271313 شماره پيگيري 537389_سند تراکنش کارت</t>
  </si>
  <si>
    <t>I12901991152</t>
  </si>
  <si>
    <t>1-1403-10-IRR-8781043560</t>
  </si>
  <si>
    <t>19:48:37</t>
  </si>
  <si>
    <t>انتقال از کارت 5892101593865252 به کارت 5041721220251467 متعلق به ابوالفضل شريفي ميناب (ابوالفضل شريفي ميناب) از خودپرداز 16592 - پذيرنده انیاک هفتاد و پنج - بانک شهر (2) - شماره مرجع 130098610612 شماره پيگيري 610612_سند تراکنش کارت</t>
  </si>
  <si>
    <t>I12901168984</t>
  </si>
  <si>
    <t>1-1403-10-IRR-8777979399</t>
  </si>
  <si>
    <t>18:20:01</t>
  </si>
  <si>
    <t>خريد کالا و خدمات با کارت 5041721220251467 متعلق به ابوالفضل شريفي ميناب (ابوالفضل شريفي ميناب) از پايانه فروش 11897604 - پذيرنده پایانه شماره 40679811 - پرداخت نوین آرین - شماره مرجع 510256704924 شماره پيگيري 541475_سند تراکنش کارت</t>
  </si>
  <si>
    <t>I12886456210</t>
  </si>
  <si>
    <t>1-1403-10-IRR-8763314902</t>
  </si>
  <si>
    <t>12:22:11</t>
  </si>
  <si>
    <t>1403/09/26</t>
  </si>
  <si>
    <t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023335052142 شماره پيگيري 718827_سند تراکنش کارت</t>
  </si>
  <si>
    <t>I12886267683</t>
  </si>
  <si>
    <t>1-1403-10-IRR-8760278839</t>
  </si>
  <si>
    <t>11:57:14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</si>
  <si>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127538555 شماره پيگيري 406798_سند تراکنش کارت</t>
  </si>
  <si>
    <t>I12883478058</t>
  </si>
  <si>
    <t>1-1403-10-IRR-8755609832</t>
  </si>
  <si>
    <t>19:30:32</t>
  </si>
  <si>
    <t>1403/09/25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</si>
  <si>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141019041544 شماره پيگيري 3360_سند تراکنش کارت</t>
  </si>
  <si>
    <t>I12881563833</t>
  </si>
  <si>
    <t>1-1403-10-IRR-8755131807</t>
  </si>
  <si>
    <t>14:23:17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</si>
  <si>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325287759995 شماره پيگيري 18009_سند تراکنش کارت</t>
  </si>
  <si>
    <t>I12879760164</t>
  </si>
  <si>
    <t>1-1403-10-IRR-8751731345</t>
  </si>
  <si>
    <t>09:32:53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</si>
  <si>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124935913 شماره پيگيري 804115_سند تراکنش کارت</t>
  </si>
  <si>
    <t>I12876126015</t>
  </si>
  <si>
    <t>1-1403-10-IRR-8746366458</t>
  </si>
  <si>
    <t>15:51:17</t>
  </si>
  <si>
    <t>1403/09/24</t>
  </si>
  <si>
    <t>انتقال از کارت 5041721220251467 متعلق به ابوالفضل شريفي ميناب (ابوالفضل شريفي ميناب) به کارت 6063731025135592 متعلق به ایمان یوسفی از اينترنت 115 - پذيرنده سامانه پرداخت همراه بانک - بانک قرض الحسنه رسالت - شماره مرجع 124230285 شماره پيگيري 98489_سند تراکنش کارت</t>
  </si>
  <si>
    <t>I12874213813</t>
  </si>
  <si>
    <t>1-1403-10-IRR-8745794014</t>
  </si>
  <si>
    <t>10:36:36</t>
  </si>
  <si>
    <t>10:36:35</t>
  </si>
  <si>
    <t>خريد کالا و خدمات با کارت 5041721220251467 متعلق به ابوالفضل شريفي ميناب (ابوالفضل شريفي ميناب) از اينترنت 2002002 - کارت اعتباری ایران کیش - شماره مرجع 205549027624 شماره پيگيري 495721_سند تراکنش کارت</t>
  </si>
  <si>
    <t>I12854553681</t>
  </si>
  <si>
    <t>1-1403-10-IRR-8708209777</t>
  </si>
  <si>
    <t>18:11:49</t>
  </si>
  <si>
    <t>1403/09/20</t>
  </si>
  <si>
    <t>خريد کالا و خدمات با کارت 5041721220251467 متعلق به ابوالفضل شريفي ميناب (ابوالفضل شريفي ميناب) از اينترنت 2002002 - کارت اعتباری ایران کیش - شماره مرجع 414865308224 شماره پيگيري 667734_سند تراکنش کارت</t>
  </si>
  <si>
    <t>I12852547482</t>
  </si>
  <si>
    <t>1-1403-10-IRR-8710653756</t>
  </si>
  <si>
    <t>12:40:27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</si>
  <si>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142079938221 شماره پيگيري 21636_سند تراکنش کارت</t>
  </si>
  <si>
    <t>I12852014281</t>
  </si>
  <si>
    <t>1-1403-10-IRR-8713532329</t>
  </si>
  <si>
    <t>11:29:01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</si>
  <si>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141010966650 شماره پيگيري 3192_سند تراکنش کارت</t>
  </si>
  <si>
    <t>I12851944843</t>
  </si>
  <si>
    <t>1-1403-10-IRR-8710478868</t>
  </si>
  <si>
    <t>11:19:43</t>
  </si>
  <si>
    <t>انتقال از کارت 6104338686010394 به کارت 5041721220251467 متعلق به ابوالفضل شريفي ميناب (ابوالفضل شريفي ميناب) از خودپرداز 106454   - پذيرنده مرکزی - بانک سپه - شماره مرجع 088468319331 شماره پيگيري 7137_سند تراکنش کارت</t>
  </si>
  <si>
    <t>I12848045284</t>
  </si>
  <si>
    <t>1-1403-10-IRR-8699613886</t>
  </si>
  <si>
    <t>17:23:02</t>
  </si>
  <si>
    <t>1403/09/19</t>
  </si>
  <si>
    <t>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114202296 شماره پيگيري 70375_سند تراکنش کارت</t>
  </si>
  <si>
    <t>I12845572078</t>
  </si>
  <si>
    <t>1-1403-10-IRR-8701948503</t>
  </si>
  <si>
    <t>10:39:45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</si>
  <si>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104929039 شماره پيگيري 797012_سند تراکنش کارت</t>
  </si>
  <si>
    <t>I12819111335</t>
  </si>
  <si>
    <t>1-1403-10-IRR-8657150433</t>
  </si>
  <si>
    <t>13:11:04</t>
  </si>
  <si>
    <t>1403/09/14</t>
  </si>
  <si>
    <t>انتقال از کارت 5859831037769618 به کارت 5041721220251467 متعلق به ابوالفضل شريفي ميناب (ابوالفضل شريفي ميناب) از خودپرداز 107216   - پذيرنده مرکزی - بانک توسعه تعاون - شماره مرجع 012950098382 شماره پيگيري 7999_سند تراکنش کارت</t>
  </si>
  <si>
    <t>I12808993866</t>
  </si>
  <si>
    <t>1-1403-10-IRR-8630415919</t>
  </si>
  <si>
    <t>19:03:42</t>
  </si>
  <si>
    <t>1403/09/12</t>
  </si>
  <si>
    <t>انتقال از کارت 6037697535940057 به کارت 5041721220251467 متعلق به ابوالفضل شريفي ميناب (ابوالفضل شريفي ميناب) از خودپرداز 107216   - پذيرنده مرکزی - بانک توسعه تعاون - شماره مرجع 012950182294 شماره پيگيري 7995_سند تراکنش کارت</t>
  </si>
  <si>
    <t>I12808974410</t>
  </si>
  <si>
    <t>1-1403-10-IRR-8621704567</t>
  </si>
  <si>
    <t>19:01:16</t>
  </si>
  <si>
    <t>انتقال از کارت 6037701521452687 به کارت 5041721220251467 متعلق به ابوالفضل شريفي ميناب (ابوالفضل شريفي ميناب) از خودپرداز 77300015 - پذيرنده ص خشمان - بانک ملی - شماره مرجع 742533571800 شماره پيگيري 742580_سند تراکنش کارت</t>
  </si>
  <si>
    <t>I12803219151</t>
  </si>
  <si>
    <t>1-1403-10-IRR-8615815966</t>
  </si>
  <si>
    <t>19:56:54</t>
  </si>
  <si>
    <t>1403/09/11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</si>
  <si>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98251098 شماره پيگيري 118991_سند تراکنش کارت</t>
  </si>
  <si>
    <t>I12800279314</t>
  </si>
  <si>
    <t>1-1403-10-IRR-8618090222</t>
  </si>
  <si>
    <t>12:35:13</t>
  </si>
  <si>
    <t>خريد کالا و خدمات با کارت 5041721220251467 متعلق به ابوالفضل شريفي ميناب (ابوالفضل شريفي ميناب) از پايانه فروش 71144022 - پذيرنده ابزار نادر - پرداخت الکترونیک پاسارگاد - شماره مرجع 142066527272 شماره پيگيري 11494_سند تراکنش کارت</t>
  </si>
  <si>
    <t>I12795443660</t>
  </si>
  <si>
    <t>1-1403-10-IRR-8600529488</t>
  </si>
  <si>
    <t>17:06:18</t>
  </si>
  <si>
    <t>1403/09/10</t>
  </si>
  <si>
    <t>خريد کالا و خدمات با کارت 5041721220251467 متعلق به ابوالفضل شريفي ميناب (ابوالفضل شريفي ميناب) از پايانه فروش 70514289 - پذيرنده لوازم التحری ر آوا - پرداخت الکترونیک پاسارگاد - شماره مرجع 142057381309 شماره پيگيري 8627_سند تراکنش کارت</t>
  </si>
  <si>
    <t>I12795318293</t>
  </si>
  <si>
    <t>1-1403-10-IRR-8597530157</t>
  </si>
  <si>
    <t>16:48:49</t>
  </si>
  <si>
    <t>خريد کالا و خدمات با کارت 5041721220251467 متعلق به ابوالفضل شريفي ميناب (ابوالفضل شريفي ميناب) از پايانه فروش 12155557 - پذيرنده قنادی حافظ - پرداخت الکترونیک سامان - شماره مرجع 845995411190 شماره پيگيري 574646_سند تراکنش کارت</t>
  </si>
  <si>
    <t>I12776841656</t>
  </si>
  <si>
    <t>1-1403-10-IRR-8564203215</t>
  </si>
  <si>
    <t>13:56:13</t>
  </si>
  <si>
    <t>1403/09/07</t>
  </si>
  <si>
    <t>انتقال از کارت 5041721220251467 متعلق به ابوالفضل شريفي ميناب (ابوالفضل شريفي ميناب) به کارت 6037991534119247 متعلق به محسن حبیبی از اينترنت 115 - پذيرنده سامانه پرداخت همراه بانک - بانک قرض الحسنه رسالت - شماره مرجع 89861842 شماره پيگيري 729625_سند تراکنش کارت</t>
  </si>
  <si>
    <t>I12776832646</t>
  </si>
  <si>
    <t>1-1403-10-IRR-8561305112</t>
  </si>
  <si>
    <t>13:54:41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</si>
  <si>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89563714 شماره پيگيري 431512_سند تراکنش کارت</t>
  </si>
  <si>
    <t>I12775981489</t>
  </si>
  <si>
    <t>1-1403-10-IRR-8561043972</t>
  </si>
  <si>
    <t>11:56:02</t>
  </si>
  <si>
    <t>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433211304835 شماره پيگيري 304835_سند تراکنش کارت</t>
  </si>
  <si>
    <t>I12775645197</t>
  </si>
  <si>
    <t>1-1403-10-IRR-8560951826</t>
  </si>
  <si>
    <t>11:12:45</t>
  </si>
  <si>
    <t>انتقال از کارت 5894631210414009 به کارت 5041721220251467 متعلق به ابوالفضل شريفي ميناب (ابوالفضل شريفي ميناب) از Pinpad 125999 - پذيرنده باجه خانقاه - پست بانک - شماره مرجع 130055753463 شماره پيگيري 753463_سند تراکنش کارت</t>
  </si>
  <si>
    <t>I12770415750</t>
  </si>
  <si>
    <t>1-1403-10-IRR-8552459025</t>
  </si>
  <si>
    <t>13:58:46</t>
  </si>
  <si>
    <t>1403/09/06</t>
  </si>
  <si>
    <t>خريد کالا و خدمات با کارت 5041721220251467 متعلق به ابوالفضل شريفي ميناب (ابوالفضل شريفي ميناب) از پايانه فروش 98879458 - پذيرنده پرداخت الکترونیک سپهر - مبنا کارت آریا (اینفوتک) - شماره مرجع 128139222734 شماره پيگيري 222734_سند تراکنش کارت</t>
  </si>
  <si>
    <t>I12770355820</t>
  </si>
  <si>
    <t>1-1403-10-IRR-8549413581</t>
  </si>
  <si>
    <t>13:48:38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</si>
  <si>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325054648597 شماره پيگيري 17534_سند تراکنش کارت</t>
  </si>
  <si>
    <t>I12761614396</t>
  </si>
  <si>
    <t>1-1403-10-IRR-8540228883</t>
  </si>
  <si>
    <t>08:53:38</t>
  </si>
  <si>
    <t>1403/09/05</t>
  </si>
  <si>
    <t>خريد کالا و خدمات با کارت 5041721220251467 متعلق به ابوالفضل شريفي ميناب (ابوالفضل شريفي ميناب) از پايانه فروش 13518438 - کارت اعتباری ایران کیش - شماره مرجع 184383276309 شماره پيگيري 11505_سند تراکنش کارت</t>
  </si>
  <si>
    <t>I12749609013</t>
  </si>
  <si>
    <t>1-1403-10-IRR-8513845342</t>
  </si>
  <si>
    <t>13:06:38</t>
  </si>
  <si>
    <t>1403/09/03</t>
  </si>
  <si>
    <t>انتقال از کارت 5041721220251467 متعلق به ابوالفضل شريفي ميناب (ابوالفضل شريفي ميناب) به کارت 6280231494746430 متعلق به ابراهیم جعفری از اينترنت 115 - پذيرنده سامانه پرداخت همراه بانک - بانک قرض الحسنه رسالت - شماره مرجع 79551411 شماره پيگيري 419071_سند تراکنش کارت</t>
  </si>
  <si>
    <t>I12747934193</t>
  </si>
  <si>
    <t>1-1403-10-IRR-8510427286</t>
  </si>
  <si>
    <t>09:25:12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</si>
  <si>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325028270908 شماره پيگيري 17477_سند تراکنش کارت</t>
  </si>
  <si>
    <t>I12747853918</t>
  </si>
  <si>
    <t>1-1403-10-IRR-8516412447</t>
  </si>
  <si>
    <t>09:11:58</t>
  </si>
  <si>
    <t>خريد کالا و خدمات با کارت 5041721220251467 متعلق به ابوالفضل شريفي ميناب (ابوالفضل شريفي ميناب) از پايانه فروش 7181450 - پذيرنده پایانه به پرداخت ملت - به پرداخت ملت - شماره مرجع 291106607904 شماره پيگيري 607904_سند تراکنش کارت</t>
  </si>
  <si>
    <t>I12735906956</t>
  </si>
  <si>
    <t>1-1403-10-IRR-8492972161</t>
  </si>
  <si>
    <t>11:00:13</t>
  </si>
  <si>
    <t>1403/09/01</t>
  </si>
  <si>
    <t>انتقال از کارت 6037697705404223 به کارت 5041721220251467 متعلق به ابوالفضل شريفي ميناب (ابوالفضل شريفي ميناب) از اينترنت 6590002 - پذيرنده ص خشمان - بانک صادرات - شماره مرجع 220915214331 شماره پيگيري 124331_سند تراکنش کارت</t>
  </si>
  <si>
    <t>I12735035307</t>
  </si>
  <si>
    <t>1-1403-10-IRR-8492719847</t>
  </si>
  <si>
    <t>09:15:22</t>
  </si>
  <si>
    <t>انتقال از کارت 6037997261407614 به کارت 5041721220251467 متعلق به ابوالفضل شريفي ميناب (ابوالفضل شريفي ميناب) از اينترنت 17592030 - پذيرنده ص خشمان - بانک ملی - شماره مرجع 184795172311 شماره پيگيري 610603_سند تراکنش کارت</t>
  </si>
  <si>
    <t>I12734076826</t>
  </si>
  <si>
    <t>1-1403-10-IRR-8485675895</t>
  </si>
  <si>
    <t>00:14:00</t>
  </si>
  <si>
    <t>انتقال از کارت 5041721220251467 متعلق به ابوالفضل شريفي ميناب (ابوالفضل شريفي ميناب) به کارت 6037697402090572 متعلق به محمد یوزباشی از اينترنت 115 - پذيرنده سامانه پرداخت همراه بانک - بانک قرض الحسنه رسالت - شماره مرجع 73239212 شماره پيگيري 106808_سند تراکنش کارت</t>
  </si>
  <si>
    <t>I12729903368</t>
  </si>
  <si>
    <t>1-1403-10-IRR-8487631984</t>
  </si>
  <si>
    <t>14:03:38</t>
  </si>
  <si>
    <t>1403/08/30</t>
  </si>
  <si>
    <t>انتقال از کارت 5041721220251467 متعلق به ابوالفضل شريفي ميناب (ابوالفضل شريفي ميناب) به کارت 6104337941141515 متعلق به  فردین  رضائی از اينترنت 115 - پذيرنده سامانه پرداخت همراه بانک - بانک قرض الحسنه رسالت - شماره مرجع 73235409 شماره پيگيري 103005_سند تراکنش کارت</t>
  </si>
  <si>
    <t>I12729890608</t>
  </si>
  <si>
    <t>1-1403-10-IRR-8484633001</t>
  </si>
  <si>
    <t>14:01:34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</si>
  <si>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324992460262 شماره پيگيري 17415_سند تراکنش کارت</t>
  </si>
  <si>
    <t>I12727939505</t>
  </si>
  <si>
    <t>1-1403-10-IRR-8487079088</t>
  </si>
  <si>
    <t>09:51:16</t>
  </si>
  <si>
    <t>خريد کالا و خدمات با کارت 5041721220251467 متعلق به ابوالفضل شريفي ميناب (ابوالفضل شريفي ميناب) از پايانه فروش 33642264 - پذيرنده Not - پرداخت الکترونیک سداد (2) - شماره مرجع 324981976696 شماره پيگيري 3164_سند تراکنش کارت</t>
  </si>
  <si>
    <t>I12722073244</t>
  </si>
  <si>
    <t>1-1403-10-IRR-8478735461</t>
  </si>
  <si>
    <t>11:59:58</t>
  </si>
  <si>
    <t>1403/08/29</t>
  </si>
  <si>
    <t>خريد کالا و خدمات با کارت 5041721220251467 متعلق به ابوالفضل شريفي ميناب (ابوالفضل شريفي ميناب) از پايانه فروش 33690414 - پذيرنده Not - پرداخت الکترونیک سداد (2) - شماره مرجع 324981320014 شماره پيگيري 3718_سند تراکنش کارت</t>
  </si>
  <si>
    <t>I12721793279</t>
  </si>
  <si>
    <t>1-1403-10-IRR-8475738469</t>
  </si>
  <si>
    <t>11:21:46</t>
  </si>
  <si>
    <t>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290839225948 شماره پيگيري 225948_سند تراکنش کارت</t>
  </si>
  <si>
    <t>I12716810162</t>
  </si>
  <si>
    <t>1-1403-10-IRR-8467005240</t>
  </si>
  <si>
    <t>14:17:16</t>
  </si>
  <si>
    <t>1403/08/28</t>
  </si>
  <si>
    <t>انتقال از کارت 5041721220251467 متعلق به ابوالفضل شريفي ميناب (ابوالفضل شريفي ميناب) به کارت 5892101395528355 متعلق به زهرا علی پور از اينترنت 115 - پذيرنده سامانه پرداخت همراه بانک - بانک قرض الحسنه رسالت - شماره مرجع 68309360 شماره پيگيري 176902_سند تراکنش کارت</t>
  </si>
  <si>
    <t>I12716013559</t>
  </si>
  <si>
    <t>1-1403-10-IRR-8472839186</t>
  </si>
  <si>
    <t>12:13:48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</si>
  <si>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66612394 شماره پيگيري 479907_سند تراکنش کارت</t>
  </si>
  <si>
    <t>I12711619559</t>
  </si>
  <si>
    <t>1-1403-10-IRR-8464321364</t>
  </si>
  <si>
    <t>17:29:04</t>
  </si>
  <si>
    <t>1403/08/27</t>
  </si>
  <si>
    <t>انتقال از کارت 5041721220251467 متعلق به ابوالفضل شريفي ميناب (ابوالفضل شريفي ميناب) به کارت 5892101486649722 متعلق به علی کریمی کشکولی از اينترنت 115 - پذيرنده سامانه پرداخت همراه بانک - بانک قرض الحسنه رسالت - شماره مرجع 66083715 شماره پيگيري 951215_سند تراکنش کارت</t>
  </si>
  <si>
    <t>I12710199017</t>
  </si>
  <si>
    <t>1-1403-10-IRR-8463939368</t>
  </si>
  <si>
    <t>13:03:22</t>
  </si>
  <si>
    <t>خريد کالا و خدمات با کارت 5041721220251467 متعلق به ابوالفضل شريفي ميناب (ابوالفضل شريفي ميناب) از پايانه فروش 54338614 - پذيرنده ل ار پ لاست - تجارت الکترونیک پارسیان - شماره مرجع 807831241666 شماره پيگيري 218560_سند تراکنش کارت</t>
  </si>
  <si>
    <t>I12709844272</t>
  </si>
  <si>
    <t>1-1403-10-IRR-8457775010</t>
  </si>
  <si>
    <t>12:13:22</t>
  </si>
  <si>
    <t>انتقال از کارت 6104337683296758 به کارت 5041721220251467 متعلق به ابوالفضل شريفي ميناب (ابوالفضل شريفي ميناب) از اينترنت 200 - پذيرنده پایانه بانک ملت - بانک ملت - شماره مرجع 154880503561 شماره پيگيري 503561_سند تراکنش کارت</t>
  </si>
  <si>
    <t>I12709706132</t>
  </si>
  <si>
    <t>1-1403-10-IRR-8463795528</t>
  </si>
  <si>
    <t>11:54:08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</si>
  <si>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65040190 شماره پيگيري 907684_سند تراکنش کارت</t>
  </si>
  <si>
    <t>I12707312506</t>
  </si>
  <si>
    <t>1-1403-10-IRR-8452693627</t>
  </si>
  <si>
    <t>21:15:45</t>
  </si>
  <si>
    <t>1403/08/26</t>
  </si>
  <si>
    <t>خريد کالا و خدمات با کارت 5041721220251467 متعلق به ابوالفضل شريفي ميناب (ابوالفضل شريفي ميناب) از پايانه فروش 33178456 - پذيرنده Not - پرداخت الکترونیک سداد (2) - شماره مرجع 324914778764 شماره پيگيري 18377_سند تراکنش کارت</t>
  </si>
  <si>
    <t>I12689800804</t>
  </si>
  <si>
    <t>1-1403-10-IRR-8424111067</t>
  </si>
  <si>
    <t>18:28:07</t>
  </si>
  <si>
    <t>1403/08/23</t>
  </si>
  <si>
    <t>انتقال از کارت 5041721220251467 متعلق به ابوالفضل شريفي ميناب (ابوالفضل شريفي ميناب) به کارت 6037691990206484 متعلق به سپاهان کیمیا بسپار از اينترنت 115 - پذيرنده سامانه پرداخت همراه بانک - بانک قرض الحسنه رسالت - شماره مرجع 58377152 شماره پيگيري 244565_سند تراکنش کارت</t>
  </si>
  <si>
    <t>I12687718032</t>
  </si>
  <si>
    <t>1-1403-10-IRR-8426535215</t>
  </si>
  <si>
    <t>12:37:32</t>
  </si>
  <si>
    <t>خريد کالا و خدمات با کارت 5041721220251467 متعلق به ابوالفضل شريفي ميناب (ابوالفضل شريفي ميناب) از پايانه فروش 2392472 - پذيرنده خرازی ع سکری زاده - پرداخت الکترونیک پاسارگاد - شماره مرجع 141014670208 شماره پيگيري 25736_سند تراکنش کارت</t>
  </si>
  <si>
    <t>I12686507178</t>
  </si>
  <si>
    <t>1-1403-10-IRR-8423173517</t>
  </si>
  <si>
    <t>09:38:37</t>
  </si>
  <si>
    <t>انتقال از کارت 5041721220251467 متعلق به ابوالفضل شريفي ميناب (ابوالفضل شريفي ميناب) به کارت 6219861072152951 متعلق به مهدی شاملو از اينترنت 115 - پذيرنده سامانه پرداخت همراه بانک - بانک قرض الحسنه رسالت - شماره مرجع 56255945 شماره پيگيري 123342_سند تراکنش کارت</t>
  </si>
  <si>
    <t>I12681699174</t>
  </si>
  <si>
    <t>1-1403-10-IRR-8418118614</t>
  </si>
  <si>
    <t>12:25:02</t>
  </si>
  <si>
    <t>1403/08/22</t>
  </si>
  <si>
    <t>انتقال از کارت 5041721220251467 متعلق به ابوالفضل شريفي ميناب (ابوالفضل شريفي ميناب) به کارت 6219861069546801 متعلق به پیمان زینال پور از اينترنت 115 - پذيرنده سامانه پرداخت همراه بانک - بانک قرض الحسنه رسالت - شماره مرجع 56166790 شماره پيگيري 34188_سند تراکنش کارت</t>
  </si>
  <si>
    <t>I12681424808</t>
  </si>
  <si>
    <t>1-1403-10-IRR-8411983523</t>
  </si>
  <si>
    <t>11:46:06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</si>
  <si>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56159820 شماره پيگيري 27214_سند تراکنش کارت</t>
  </si>
  <si>
    <t>I12681401534</t>
  </si>
  <si>
    <t>1-1403-10-IRR-8418039244</t>
  </si>
  <si>
    <t>11:42:46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</si>
  <si>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55996203 شماره پيگيري 863580_سند تراکنش کارت</t>
  </si>
  <si>
    <t>I12680935721</t>
  </si>
  <si>
    <t>1-1403-10-IRR-8417879098</t>
  </si>
  <si>
    <t>10:34:55</t>
  </si>
  <si>
    <t>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54400331 شماره پيگيري 267690_سند تراکنش کارت</t>
  </si>
  <si>
    <t>I12676383076</t>
  </si>
  <si>
    <t>1-1403-10-IRR-8406777244</t>
  </si>
  <si>
    <t>14:12:11</t>
  </si>
  <si>
    <t>1403/08/21</t>
  </si>
  <si>
    <t>خريد کالا و خدمات با کارت 5041721220251467 متعلق به ابوالفضل شريفي ميناب (ابوالفضل شريفي ميناب) از پايانه فروش 41566207 - پذيرنده چاپ پاسارگاد - سایان کارت - شماره مرجع 091318346887 شماره پيگيري 346887_سند تراکنش کارت</t>
  </si>
  <si>
    <t>I12676041457</t>
  </si>
  <si>
    <t>1-1403-10-IRR-8409705180</t>
  </si>
  <si>
    <t>13:11:51</t>
  </si>
  <si>
    <t>خريد کالا و خدمات با کارت 5041721220251467 متعلق به ابوالفضل شريفي ميناب (ابوالفضل شريفي ميناب) از پايانه فروش 70548465 - پذيرنده اوس مع مار - پرداخت الکترونیک پاسارگاد - شماره مرجع 142053157178 شماره پيگيري 2597_سند تراکنش کارت</t>
  </si>
  <si>
    <t>I12675926730</t>
  </si>
  <si>
    <t>1-1403-10-IRR-8403689113</t>
  </si>
  <si>
    <t>12:54:45</t>
  </si>
  <si>
    <t>ثبت پایا با شماره پیگیری 140308210702955630 به مقصد بانک آينده و شبای IR750620000000203104479006 و ذینفع سهیلا سلحشور- انتقالی_ثبت پایا در شعبه بانکداري مدرن 1</t>
  </si>
  <si>
    <t>1731323593756_99990003</t>
  </si>
  <si>
    <t>1-1403-10-IRR-8409481512</t>
  </si>
  <si>
    <t>11:13:14</t>
  </si>
  <si>
    <t>دریافت کارمزد ثبت پایا با شماره پیگیری 140308210702955630 _انتقالی _دریافت کارمزد ثبت پایا</t>
  </si>
  <si>
    <t>انتقال از کارت 5041721220251467 متعلق به ابوالفضل شريفي ميناب (ابوالفضل شريفي ميناب) به کارت 6037697402090572 متعلق به محمد یوزباشی از اينترنت 115 - پذيرنده سامانه پرداخت همراه بانک - بانک قرض الحسنه رسالت - شماره مرجع 53312414 شماره پيگيري 179773_سند تراکنش کارت</t>
  </si>
  <si>
    <t>I12673417657</t>
  </si>
  <si>
    <t>1-1403-10-IRR-8395703217</t>
  </si>
  <si>
    <t>22:30:03</t>
  </si>
  <si>
    <t>1403/08/20</t>
  </si>
  <si>
    <t>انتقال از کارت 5041721220251467 متعلق به ابوالفضل شريفي ميناب (ابوالفضل شريفي ميناب) به کارت 6037697402090572 متعلق به محمد یوزباشی از اينترنت 115 - پذيرنده سامانه پرداخت همراه بانک - بانک قرض الحسنه رسالت - شماره مرجع 50548755 شماره پيگيري 416084_سند تراکنش کارت</t>
  </si>
  <si>
    <t>I12665591911</t>
  </si>
  <si>
    <t>1-1403-10-IRR-8392196665</t>
  </si>
  <si>
    <t>18:28:43</t>
  </si>
  <si>
    <t>1403/08/19</t>
  </si>
  <si>
    <t>انتقال وجه از سپرده 10.3588765.1 -  توسط  سيداحمد حسيني_سامانه همراه بانک</t>
  </si>
  <si>
    <t>1</t>
  </si>
  <si>
    <t>1-1403-10-IRR-8391227436</t>
  </si>
  <si>
    <t>09:46:43</t>
  </si>
  <si>
    <t>خريد کالا و خدمات با کارت 5041721220251467 متعلق به ابوالفضل شريفي ميناب (ابوالفضل شريفي ميناب) از پايانه فروش 97800509 - پذيرنده تیپاکس - تجارت الکترونیک پارسیان - شماره مرجع 744843119971 شماره پيگيري 574972_سند تراکنش کارت</t>
  </si>
  <si>
    <t>I12661993628</t>
  </si>
  <si>
    <t>1-1403-10-IRR-8385088994</t>
  </si>
  <si>
    <t>08:57:39</t>
  </si>
  <si>
    <t>انتقال از کارت 5041721220251467 متعلق به ابوالفضل شريفي ميناب (ابوالفضل شريفي ميناب) به کارت 6037998128066221 متعلق به مجید خواجوندسریوی از اينترنت 115 - پذيرنده سامانه پرداخت همراه بانک - بانک قرض الحسنه رسالت - شماره مرجع 46056813 شماره پيگيري 924088_سند تراکنش کارت</t>
  </si>
  <si>
    <t>I12652915304</t>
  </si>
  <si>
    <t>1-1403-10-IRR-8370645781</t>
  </si>
  <si>
    <t>12:24:32</t>
  </si>
  <si>
    <t>1403/08/17</t>
  </si>
  <si>
    <t>انتقال از کارت 6037691674426952 به کارت 5041721220251467 متعلق به ابوالفضل شريفي ميناب (ابوالفضل شريفي ميناب) از کيوسک داراي کارتخوان 12125 - پذيرنده کیوسک ستاره شهر بندرعب - بانک دی - شماره مرجع 130053115170 شماره پيگيري 115170_سند تراکنش کارت</t>
  </si>
  <si>
    <t>I12651744945</t>
  </si>
  <si>
    <t>1-1403-10-IRR-8364327424</t>
  </si>
  <si>
    <t>09:50:25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</si>
  <si>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45270320 شماره پيگيري 137590_سند تراکنش کارت</t>
  </si>
  <si>
    <t>I12650687545</t>
  </si>
  <si>
    <t>1-1403-10-IRR-8362708750</t>
  </si>
  <si>
    <t>23:01:02</t>
  </si>
  <si>
    <t>1403/08/16</t>
  </si>
  <si>
    <t>انتقال از کارت 6037701526391047 به کارت 5041721220251467 متعلق به ابوالفضل شريفي ميناب (ابوالفضل شريفي ميناب) از کيوسک داراي کارتخوان 20011085 - پذيرنده پایانه بانک ملت - بانک ملت - شماره مرجع 154477928231 شماره پيگيري 928231_سند تراکنش کارت</t>
  </si>
  <si>
    <t>I12649186803</t>
  </si>
  <si>
    <t>1-1403-10-IRR-8362298995</t>
  </si>
  <si>
    <t>18:46:45</t>
  </si>
  <si>
    <t>خريد کالا و خدمات با کارت 5041721220251467 متعلق به ابوالفضل شريفي ميناب (ابوالفضل شريفي ميناب) از پايانه فروش 7181450 - پذيرنده پایانه به پرداخت ملت - به پرداخت ملت - شماره مرجع 289752766403 شماره پيگيري 766403_سند تراکنش کارت</t>
  </si>
  <si>
    <t>I12645617639</t>
  </si>
  <si>
    <t>1-1403-10-IRR-8361284815</t>
  </si>
  <si>
    <t>09:33:44</t>
  </si>
  <si>
    <t>خريد کالا و خدمات با کارت 5041721220251467 متعلق به ابوالفضل شريفي ميناب (ابوالفضل شريفي ميناب) از پايانه فروش 80905663 - پذيرنده لوازم التحرر آوا - پرداخت الکترونیک پاسارگاد - شماره مرجع 142331224442 شماره پيگيري 7702_سند تراکنش کارت</t>
  </si>
  <si>
    <t>I12645591253</t>
  </si>
  <si>
    <t>1-1403-10-IRR-8361275327</t>
  </si>
  <si>
    <t>09:28:56</t>
  </si>
  <si>
    <t>انتقال از کارت 6037701577619809 به کارت 5041721220251467 متعلق به ابوالفضل شريفي ميناب (ابوالفضل شريفي ميناب) از اينترنت 7770001 - پذيرنده ص خشمان - بانک کشاورزی - شماره مرجع 110400071403 شماره پيگيري 71403_سند تراکنش کارت</t>
  </si>
  <si>
    <t>I12632260522</t>
  </si>
  <si>
    <t>1-1403-10-IRR-8335649457</t>
  </si>
  <si>
    <t>00:03:40</t>
  </si>
  <si>
    <t>1403/08/14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</si>
  <si>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38392138 شماره پيگيري 259327_سند تراکنش کارت</t>
  </si>
  <si>
    <t>I12631322504</t>
  </si>
  <si>
    <t>1-1403-10-IRR-8329545176</t>
  </si>
  <si>
    <t>20:25:20</t>
  </si>
  <si>
    <t>1403/08/13</t>
  </si>
  <si>
    <t>خريد کالا و خدمات با کارت 5041721220251467 متعلق به ابوالفضل شريفي ميناب (ابوالفضل شريفي ميناب) از پايانه فروش 5189437 - کارت اعتباری ایران کیش - شماره مرجع 894373077832 شماره پيگيري 12036_سند تراکنش کارت</t>
  </si>
  <si>
    <t>I12630691554</t>
  </si>
  <si>
    <t>1-1403-10-IRR-8329366089</t>
  </si>
  <si>
    <t>19:06:45</t>
  </si>
  <si>
    <t>انتقال از کارت 5041721220251467 متعلق به ابوالفضل شريفي ميناب (ابوالفضل شريفي ميناب) به کارت 6037998203718308 متعلق به محمد جواهر از اينترنت 115 - پذيرنده سامانه پرداخت همراه بانک - بانک قرض الحسنه رسالت - شماره مرجع 38054327 شماره پيگيري 921502_سند تراکنش کارت</t>
  </si>
  <si>
    <t>I12630230411</t>
  </si>
  <si>
    <t>1-1403-10-IRR-8329220370</t>
  </si>
  <si>
    <t>18:13:28</t>
  </si>
  <si>
    <t>خريد کالا و خدمات با کارت 5041721220251467 متعلق به ابوالفضل شريفي ميناب (ابوالفضل شريفي ميناب) از پايانه فروش 7283681 - پذيرنده پایانه به پرداخت ملت - به پرداخت ملت - شماره مرجع 289512898087 شماره پيگيري 898087_سند تراکنش کارت</t>
  </si>
  <si>
    <t>I12630130317</t>
  </si>
  <si>
    <t>1-1403-10-IRR-8332191694</t>
  </si>
  <si>
    <t>18:01:39</t>
  </si>
  <si>
    <t>خريد کالا و خدمات با کارت 5041721220251467 متعلق به ابوالفضل شريفي ميناب (ابوالفضل شريفي ميناب) از پايانه فروش 2392472 - پذيرنده خرازی ع سکری زاده - پرداخت الکترونیک پاسارگاد - شماره مرجع 141018227964 شماره پيگيري 25548_سند تراکنش کارت</t>
  </si>
  <si>
    <t>I12629873424</t>
  </si>
  <si>
    <t>1-1403-10-IRR-8332121386</t>
  </si>
  <si>
    <t>17:30:02</t>
  </si>
  <si>
    <t>خريد کالا و خدمات با کارت 5041721220251467 متعلق به ابوالفضل شريفي ميناب (ابوالفضل شريفي ميناب) از پايانه فروش 13523412 - پذيرنده کالای برق قدسی - پرداخت الکترونیک سامان - شماره مرجع 845316704015 شماره پيگيري 472471_سند تراکنش کارت</t>
  </si>
  <si>
    <t>I12629804608</t>
  </si>
  <si>
    <t>1-1403-10-IRR-8332105604</t>
  </si>
  <si>
    <t>17:21:15</t>
  </si>
  <si>
    <t>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289487760651 شماره پيگيري 760651_سند تراکنش کارت</t>
  </si>
  <si>
    <t>I12628612336</t>
  </si>
  <si>
    <t>1-1403-10-IRR-8328825171</t>
  </si>
  <si>
    <t>13:36:22</t>
  </si>
  <si>
    <t>انتقال از کارت 5041721220251467 متعلق به ابوالفضل شريفي ميناب (ابوالفضل شريفي ميناب) به کارت 6037691662111103 متعلق به نصراله قادری از اينترنت 115 - پذيرنده سامانه پرداخت همراه بانک - بانک قرض الحسنه رسالت - شماره مرجع 37389336 شماره پيگيري 256500_سند تراکنش کارت</t>
  </si>
  <si>
    <t>I12628331075</t>
  </si>
  <si>
    <t>1-1403-10-IRR-8331715658</t>
  </si>
  <si>
    <t>12:54:31</t>
  </si>
  <si>
    <t>12:54:30</t>
  </si>
  <si>
    <t>انتقال از کارت 5894631144689270 به کارت 5041721220251467 متعلق به ابوالفضل شريفي ميناب (ابوالفضل شريفي ميناب) از خودپرداز 9750002 - پذيرنده بانک رفاه - بانک رفاه کارگران - شماره مرجع 430841055572 شماره پيگيري 55572_سند تراکنش کارت</t>
  </si>
  <si>
    <t>I12627207560</t>
  </si>
  <si>
    <t>1-1403-10-IRR-8331381048</t>
  </si>
  <si>
    <t>10:26:23</t>
  </si>
  <si>
    <t>انتقال از کارت 5894631563346329 به کارت 5041721220251467 متعلق به ابوالفضل شريفي ميناب (ابوالفضل شريفي ميناب) از کيوسک داراي کارتخوان 1207550 - پذيرنده خنج - بانک رفاه کارگران - شماره مرجع 430803096626 شماره پيگيري 941247_سند تراکنش کارت</t>
  </si>
  <si>
    <t>I12626892410</t>
  </si>
  <si>
    <t>1-1403-10-IRR-8334270767</t>
  </si>
  <si>
    <t>09:37:04</t>
  </si>
  <si>
    <t>انتقال از کارت 6037701577619809 به کارت 5041721220251467 متعلق به ابوالفضل شريفي ميناب (ابوالفضل شريفي ميناب) از خودپرداز 4128101 - پذيرنده بانک مسک ن - بانک مسکن - شماره مرجع 430721544314 شماره پيگيري 544314_سند تراکنش کارت</t>
  </si>
  <si>
    <t>I12625261709</t>
  </si>
  <si>
    <t>1-1403-10-IRR-8326439746</t>
  </si>
  <si>
    <t>21:05:58</t>
  </si>
  <si>
    <t>1403/08/12</t>
  </si>
  <si>
    <t>خريد کالا و خدمات با کارت 5041721220251467 متعلق به ابوالفضل شريفي ميناب (ابوالفضل شريفي ميناب) از پايانه فروش 11897604 - پذيرنده پایانه شماره 40679811 - پرداخت نوین آرین - شماره مرجع 802257806152 شماره پيگيري 121153_سند تراکنش کارت</t>
  </si>
  <si>
    <t>I12621983843</t>
  </si>
  <si>
    <t>1-1403-10-IRR-8322637412</t>
  </si>
  <si>
    <t>13:03:47</t>
  </si>
  <si>
    <t>خريد کالا و خدمات با کارت 5041721220251467 متعلق به ابوالفضل شريفي ميناب (ابوالفضل شريفي ميناب) از پايانه فروش 97800509 - پذيرنده تیپاکس - تجارت الکترونیک پارسیان - شماره مرجع 744775863753 شماره پيگيري 838754_سند تراکنش کارت</t>
  </si>
  <si>
    <t>I12620310628</t>
  </si>
  <si>
    <t>1-1403-10-IRR-8325172549</t>
  </si>
  <si>
    <t>09:03:23</t>
  </si>
  <si>
    <t>انتقال از کارت 6037997197758080 به کارت 5041721220251467 متعلق به ابوالفضل شريفي ميناب (ابوالفضل شريفي ميناب) از خودپرداز 76490001 - پذيرنده ص خشمان - بانک ملی - شماره مرجع 327530544900 شماره پيگيري 327536_سند تراکنش کارت</t>
  </si>
  <si>
    <t>I12616268947</t>
  </si>
  <si>
    <t>1-1403-10-IRR-8314316334</t>
  </si>
  <si>
    <t>12:28:25</t>
  </si>
  <si>
    <t>1403/08/11</t>
  </si>
  <si>
    <t>انتقال از کارت 5041721204797626 متعلق به زهرا عبدي (زهرا عبدي) به کارت 5041721220251467 متعلق به ابوالفضل شريفي ميناب (ابوالفضل شريفي ميناب) از خودپرداز 41474 - پذيرنده بانک رفاه - بانک رفاه کارگران - شماره مرجع 430644833883 شماره پيگيري 833883_سند تراکنش کارت</t>
  </si>
  <si>
    <t>I12615874839</t>
  </si>
  <si>
    <t>1-1403-10-IRR-8314227107</t>
  </si>
  <si>
    <t>11:12:37</t>
  </si>
  <si>
    <t>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128012292360 شماره پيگيري 292360_سند تراکنش کارت</t>
  </si>
  <si>
    <t>I12606622756</t>
  </si>
  <si>
    <t>1-1403-10-IRR-8291298941</t>
  </si>
  <si>
    <t>18:13:20</t>
  </si>
  <si>
    <t>1403/08/09</t>
  </si>
  <si>
    <t>انتقال از کارت 5041721220251467 متعلق به ابوالفضل شريفي ميناب (ابوالفضل شريفي ميناب) به کارت 6037998128066221 متعلق به مجید خواجوندسریوی از اينترنت 115 - پذيرنده سامانه پرداخت همراه بانک - بانک قرض الحسنه رسالت - شماره مرجع 29816738 شماره پيگيري 683810_سند تراکنش کارت</t>
  </si>
  <si>
    <t>I12606220229</t>
  </si>
  <si>
    <t>1-1403-10-IRR-8291201095</t>
  </si>
  <si>
    <t>17:23:18</t>
  </si>
  <si>
    <t>خريد کالا و خدمات با کارت 5041721220251467 متعلق به ابوالفضل شريفي ميناب (ابوالفضل شريفي ميناب) از اينترنت 98435697 - پذيرنده پرداخت الکترونیک سپهر - مبنا کارت آریا (اینفوتک) - شماره مرجع 128011063443 شماره پيگيري 63443_سند تراکنش کارت</t>
  </si>
  <si>
    <t>I12605220371</t>
  </si>
  <si>
    <t>1-1403-10-IRR-8293960399</t>
  </si>
  <si>
    <t>14:17:54</t>
  </si>
  <si>
    <t>انتقال از کارت 5041721220251467 متعلق به ابوالفضل شريفي ميناب (ابوالفضل شريفي ميناب) به کارت 6063731025135592 متعلق به ایمان یوسفی از اينترنت 115 - پذيرنده سامانه پرداخت همراه بانک - بانک قرض الحسنه رسالت - شماره مرجع 29439894 شماره پيگيري 306971_سند تراکنش کارت</t>
  </si>
  <si>
    <t>I12605188952</t>
  </si>
  <si>
    <t>1-1403-10-IRR-8290953472</t>
  </si>
  <si>
    <t>14:11:55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</si>
  <si>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28983725 شماره پيگيري 850790_سند تراکنش کارت</t>
  </si>
  <si>
    <t>I12603851729</t>
  </si>
  <si>
    <t>1-1403-10-IRR-8293583630</t>
  </si>
  <si>
    <t>11:02:51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</si>
  <si>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27699076 شماره پيگيري 566126_سند تراکنش کارت</t>
  </si>
  <si>
    <t>I12600142737</t>
  </si>
  <si>
    <t>1-1403-10-IRR-8288325016</t>
  </si>
  <si>
    <t>18:00:01</t>
  </si>
  <si>
    <t>1403/08/08</t>
  </si>
  <si>
    <t>18:00:00</t>
  </si>
  <si>
    <t>انتقال از کارت 5041721220251467 متعلق به ابوالفضل شريفي ميناب (ابوالفضل شريفي ميناب) به کارت 6037697481665187 متعلق به عزت اله بهمن آبادی از اينترنت 115 - پذيرنده سامانه پرداخت همراه بانک - بانک قرض الحسنه رسالت - شماره مرجع 23009200 شماره پيگيري 876196_سند تراکنش کارت</t>
  </si>
  <si>
    <t>I12586629694</t>
  </si>
  <si>
    <t>1-1403-10-IRR-8267303954</t>
  </si>
  <si>
    <t>16:03:26</t>
  </si>
  <si>
    <t>1403/08/06</t>
  </si>
  <si>
    <t>خريد کالا و خدمات با کارت 5041721220251467 متعلق به ابوالفضل شريفي ميناب (ابوالفضل شريفي ميناب) از پايانه فروش 54338614 - پذيرنده ل ار پ لاست - تجارت الکترونیک پارسیان - شماره مرجع 807621475713 شماره پيگيري 452397_سند تراکنش کارت</t>
  </si>
  <si>
    <t>I12581743779</t>
  </si>
  <si>
    <t>1-1403-10-IRR-8255953456</t>
  </si>
  <si>
    <t>19:36:15</t>
  </si>
  <si>
    <t>1403/08/05</t>
  </si>
  <si>
    <t>انتقال از کارت 6037697639404133 به کارت 5041721220251467 متعلق به ابوالفضل شريفي ميناب (ابوالفضل شريفي ميناب) از اينترنت 19050022 - پذيرنده ص خشمان - بانک صادرات - شماره مرجع 007122398532 شماره پيگيري 344650_سند تراکنش کارت</t>
  </si>
  <si>
    <t>I12574826032</t>
  </si>
  <si>
    <t>1-1403-10-IRR-8247594562</t>
  </si>
  <si>
    <t>18:10:28</t>
  </si>
  <si>
    <t>1403/08/04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</si>
  <si>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15089942 شماره پيگيري 956842_سند تراکنش کارت</t>
  </si>
  <si>
    <t>I12563981502</t>
  </si>
  <si>
    <t>1-1403-10-IRR-8230272339</t>
  </si>
  <si>
    <t>19:59:56</t>
  </si>
  <si>
    <t>1403/08/02</t>
  </si>
  <si>
    <t>انتقال از کارت 6393461029921521 به کارت 5041721220251467 متعلق به ابوالفضل شريفي ميناب (ابوالفضل شريفي ميناب) از کيوسک داراي کارتخوان 21484499 - پذيرنده پایانه بانک ملت - بانک ملت - شماره مرجع 153903625188 شماره پيگيري 625188_سند تراکنش کارت</t>
  </si>
  <si>
    <t>I12563937223</t>
  </si>
  <si>
    <t>1-1403-10-IRR-8230262892</t>
  </si>
  <si>
    <t>19:54:31</t>
  </si>
  <si>
    <t>انتقال از کارت 5892101532845621 به کارت 5041721220251467 متعلق به ابوالفضل شريفي ميناب (ابوالفضل شريفي ميناب) از خودپرداز 115016   - پذيرنده مرکزی - بانک سپه - شماره مرجع 084875940827 شماره پيگيري 3039_سند تراکنش کارت</t>
  </si>
  <si>
    <t>I12553473179</t>
  </si>
  <si>
    <t>1-1403-10-IRR-8220762239</t>
  </si>
  <si>
    <t>12:42:15</t>
  </si>
  <si>
    <t>1403/08/01</t>
  </si>
  <si>
    <t>خريد کالا و خدمات با کارت 5041721220251467 متعلق به ابوالفضل شريفي ميناب (ابوالفضل شريفي ميناب) از پايانه فروش 13518438 - کارت اعتباری ایران کیش - شماره مرجع 184382952823 شماره پيگيري 8010_سند تراکنش کارت</t>
  </si>
  <si>
    <t>I12552032529</t>
  </si>
  <si>
    <t>1-1403-10-IRR-8226377927</t>
  </si>
  <si>
    <t>09:50:47</t>
  </si>
  <si>
    <t>خريد کالا و خدمات با کارت 5041721220251467 متعلق به ابوالفضل شريفي ميناب (ابوالفضل شريفي ميناب) از پايانه فروش 7181450 - پذيرنده پایانه به پرداخت ملت - به پرداخت ملت - شماره مرجع 288296593272 شماره پيگيري 593272_سند تراکنش کارت</t>
  </si>
  <si>
    <t>I12552008249</t>
  </si>
  <si>
    <t>1-1403-10-IRR-8226366771</t>
  </si>
  <si>
    <t>09:47:41</t>
  </si>
  <si>
    <t>انتقال از کارت 6219861926519678 به کارت 5041721220251467 متعلق به ابوالفضل شريفي ميناب (ابوالفضل شريفي ميناب) از اينترنت 19040 - پذيرنده کارت به کارت برونسپاری - بانک سامان - شماره مرجع 429518645041 شماره پيگيري 645041_سند تراکنش کارت</t>
  </si>
  <si>
    <t>I12548578739</t>
  </si>
  <si>
    <t>1-1403-10-IRR-8218484004</t>
  </si>
  <si>
    <t>18:59:12</t>
  </si>
  <si>
    <t>1403/07/30</t>
  </si>
  <si>
    <t>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595849 شماره پيگيري 462580_سند تراکنش کارت</t>
  </si>
  <si>
    <t>I12521566449</t>
  </si>
  <si>
    <t>1-1403-10-IRR-8182830247</t>
  </si>
  <si>
    <t>11:03:42</t>
  </si>
  <si>
    <t>1403/07/26</t>
  </si>
  <si>
    <t>انتقال از کارت 5041721220251467 متعلق به ابوالفضل شريفي ميناب (ابوالفضل شريفي ميناب) به کارت 5041721204797626 متعلق به زهرا عبدي (زهرا عبدي) از اينترنت 115 - پذيرنده سامانه پرداخت همراه بانک - بانک قرض الحسنه رسالت - شماره مرجع 1996300553 شماره پيگيري 168674_سند تراکنش کارت</t>
  </si>
  <si>
    <t>I12509033981</t>
  </si>
  <si>
    <t>1-1403-10-IRR-8164746304</t>
  </si>
  <si>
    <t>10:10:33</t>
  </si>
  <si>
    <t>1403/07/24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</si>
  <si>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141012238708 شماره پيگيري 44_سند تراکنش کارت</t>
  </si>
  <si>
    <t>I12505744719</t>
  </si>
  <si>
    <t>1-1403-10-IRR-8151101488</t>
  </si>
  <si>
    <t>17:52:45</t>
  </si>
  <si>
    <t>1403/07/23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</si>
  <si>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1994542432 شماره پيگيري 410088_سند تراکنش کارت</t>
  </si>
  <si>
    <t>I12503880359</t>
  </si>
  <si>
    <t>1-1403-10-IRR-8153613038</t>
  </si>
  <si>
    <t>12:15:56</t>
  </si>
  <si>
    <t>انتقال از کارت 6037697444481003 به کارت 5041721220251467 متعلق به ابوالفضل شريفي ميناب (ابوالفضل شريفي ميناب) از اينترنت 19050022 - پذيرنده ص خشمان - بانک صادرات - شماره مرجع 007052072938 شماره پيگيري 19050_سند تراکنش کارت</t>
  </si>
  <si>
    <t>I12502783874</t>
  </si>
  <si>
    <t>1-1403-10-IRR-8156330578</t>
  </si>
  <si>
    <t>09:32:41</t>
  </si>
  <si>
    <t>خريد کالا و خدمات با کارت 5041721220251467 متعلق به ابوالفضل شريفي ميناب (ابوالفضل شريفي ميناب) از پايانه فروش 12455347 - پذيرنده س وواط ن ادیم رال ش وروک - پرداخت الکترونیک سامان - شماره مرجع 844711530018 شماره پيگيري 153474_سند تراکنش کارت</t>
  </si>
  <si>
    <t>I12499448682</t>
  </si>
  <si>
    <t>1-1403-10-IRR-8145074686</t>
  </si>
  <si>
    <t>17:22:11</t>
  </si>
  <si>
    <t>1403/07/22</t>
  </si>
  <si>
    <t>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287339626518 شماره پيگيري 626518_سند تراکنش کارت</t>
  </si>
  <si>
    <t>I12491528673</t>
  </si>
  <si>
    <t>1-1403-10-IRR-8138528512</t>
  </si>
  <si>
    <t>12:03:42</t>
  </si>
  <si>
    <t>1403/07/21</t>
  </si>
  <si>
    <t>خريد کالا و خدمات با کارت 5041721220251467 متعلق به ابوالفضل شريفي ميناب (ابوالفضل شريفي ميناب) از پايانه فروش 33418760 - پذيرنده Not - پرداخت الکترونیک سداد (2) - شماره مرجع 324507346205 شماره پيگيري 6147_سند تراکنش کارت</t>
  </si>
  <si>
    <t>I12482966593</t>
  </si>
  <si>
    <t>1-1403-10-IRR-8118082918</t>
  </si>
  <si>
    <t>17:59:21</t>
  </si>
  <si>
    <t>1403/07/19</t>
  </si>
  <si>
    <t>خريد کالا و خدمات با کارت 5041721220251467 متعلق به ابوالفضل شريفي ميناب (ابوالفضل شريفي ميناب) از پايانه فروش 92040615 - پذيرنده خ رازی ق ادری - تجارت الکترونیک پارسیان - شماره مرجع 807457409672 شماره پيگيري 386192_سند تراکنش کارت</t>
  </si>
  <si>
    <t>I12480656916</t>
  </si>
  <si>
    <t>1-1403-10-IRR-8114585249</t>
  </si>
  <si>
    <t>11:40:46</t>
  </si>
  <si>
    <t>خريد کالا و خدمات با کارت 5041721220251467 متعلق به ابوالفضل شريفي ميناب (ابوالفضل شريفي ميناب) از پايانه فروش 5587567 - پذيرنده پایانه به پرداخت ملت - به پرداخت ملت - شماره مرجع 287156763477 شماره پيگيري 763477_سند تراکنش کارت</t>
  </si>
  <si>
    <t>I12480145446</t>
  </si>
  <si>
    <t>1-1403-10-IRR-8114416698</t>
  </si>
  <si>
    <t>10:36:15</t>
  </si>
  <si>
    <t>خريد کالا و خدمات با کارت 5041721220251467 متعلق به ابوالفضل شريفي ميناب (ابوالفضل شريفي ميناب) از پايانه فروش 10958607 - پذيرنده راپاچ ن اناسر الاک - پرداخت الکترونیک سامان - شماره مرجع 844599758250 شماره پيگيري 371706_سند تراکنش کارت</t>
  </si>
  <si>
    <t>I12476701035</t>
  </si>
  <si>
    <t>1-1403-10-IRR-8106177837</t>
  </si>
  <si>
    <t>17:46:41</t>
  </si>
  <si>
    <t>1403/07/18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</si>
  <si>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1980655198 شماره پيگيري 522681_سند تراکنش کارت</t>
  </si>
  <si>
    <t>I12463189572</t>
  </si>
  <si>
    <t>1-1403-10-IRR-8094378888</t>
  </si>
  <si>
    <t>13:31:20</t>
  </si>
  <si>
    <t>1403/07/16</t>
  </si>
  <si>
    <t>خريد کالا و خدمات با کارت 5041721220251467 متعلق به ابوالفضل شريفي ميناب (ابوالفضل شريفي ميناب) از پايانه فروش 92221452 - تجارت الکترونیک پارسیان - شماره مرجع 744497600522 شماره پيگيري 690523_سند تراکنش کارت</t>
  </si>
  <si>
    <t>I12449383564</t>
  </si>
  <si>
    <t>1-1403-10-IRR-8072905241</t>
  </si>
  <si>
    <t>10:15:34</t>
  </si>
  <si>
    <t>1403/07/14</t>
  </si>
  <si>
    <t>انتقال از کارت 5041721220251467 متعلق به ابوالفضل شريفي ميناب (ابوالفضل شريفي ميناب) به کارت 6037697596051935 متعلق به احمد علی بخشی از اينترنت 115 - پذيرنده سامانه پرداخت همراه بانک - بانک قرض الحسنه رسالت - شماره مرجع 1971661455 شماره پيگيري 528826_سند تراکنش کارت</t>
  </si>
  <si>
    <t>I12437228129</t>
  </si>
  <si>
    <t>1-1403-10-IRR-8044113749</t>
  </si>
  <si>
    <t>22:06:54</t>
  </si>
  <si>
    <t>1403/07/11</t>
  </si>
  <si>
    <t>انتقال از کارت 5041721220251467 متعلق به ابوالفضل شريفي ميناب (ابوالفضل شريفي ميناب) به کارت 5022291329108037 متعلق به ابوالفضل شریفی میناب از اينترنت 115 - پذيرنده سامانه پرداخت همراه بانک - بانک قرض الحسنه رسالت - شماره مرجع 1962187808 شماره پيگيري 55077_سند تراکنش کارت</t>
  </si>
  <si>
    <t>I12409747028</t>
  </si>
  <si>
    <t>1-1403-10-IRR-8014012709</t>
  </si>
  <si>
    <t>15:07:07</t>
  </si>
  <si>
    <t>1403/07/07</t>
  </si>
  <si>
    <t>برداشت از سپرده بابت کارمزد اعتبار سنجي پردازش داخلي موجودي-صورتحساب-انتقال از کارت-انتقال از کارت به سپرده(نامه 02.32780)_دريافت موجودي سپرده با کارت 5041721220251467 متعلق به ابوالفضل شريفي ميناب (ابوالفضل شريفي ميناب) از اينترنت 115 - پذيرنده سامانه پرداخت همراه بانک - بانک قرض الحسنه رسالت - شماره مرجع 1954660227 شماره پيگيري 527403</t>
  </si>
  <si>
    <t>I12388310028</t>
  </si>
  <si>
    <t>1-1403-10-IRR-7974370137</t>
  </si>
  <si>
    <t>21:00:47</t>
  </si>
  <si>
    <t>1403/07/03</t>
  </si>
  <si>
    <t>کارمزد صدور رمز همراه بانک شهریور 1403
_برداشت بابت فایل (GW-1726748748276)</t>
  </si>
  <si>
    <t>253232574811-148974</t>
  </si>
  <si>
    <t>1-1403-10-IRR-7932765152</t>
  </si>
  <si>
    <t>12:30:37</t>
  </si>
  <si>
    <t>1403/06/29</t>
  </si>
  <si>
    <t>صدور کارت مجازی شهریور 1403
_برداشت بابت فایل (GW-1726748191506)</t>
  </si>
  <si>
    <t>253232309621-1337</t>
  </si>
  <si>
    <t>1-1403-10-IRR-7929647669</t>
  </si>
  <si>
    <t>12:18:35</t>
  </si>
  <si>
    <t>کارمزد صدور کارت نقدی شهریور 1403
_برداشت بابت فایل (GW-1726747932423)</t>
  </si>
  <si>
    <t>253278968283-23332</t>
  </si>
  <si>
    <t>1-1403-10-IRR-7926611430</t>
  </si>
  <si>
    <t>12:13:13</t>
  </si>
  <si>
    <t>هزینه ارسال کارت نقدی شهریور 1403
_برداشت بابت فایل (GW-1726747740086)</t>
  </si>
  <si>
    <t>253231248058-23332</t>
  </si>
  <si>
    <t>1-1403-10-IRR-7926598337</t>
  </si>
  <si>
    <t>12:11:46</t>
  </si>
  <si>
    <t>ثبت پایا با شماره پیگیری 140306280702635890 به مقصد بانک پاسارگاد و شبای IR850570140211512400313001 و ذینفع ابوالفضل شریفی میناب- انتقالی_ثبت پایا در شعبه بانکداري مدرن 1</t>
  </si>
  <si>
    <t>1-1403-10-IRR-7920976170</t>
  </si>
  <si>
    <t>12:10:34</t>
  </si>
  <si>
    <t>1403/06/28</t>
  </si>
  <si>
    <t>دریافت کارمزد ثبت پایا با شماره پیگیری 140306280702635890 _انتقالی _دریافت کارمزد ثبت پایا</t>
  </si>
  <si>
    <t>ثبت پایا با شماره پیگیری 140306280702638536 به مقصد بانک پاسارگاد و شبای IR850570140211512400313001 و ذینفع ابوالفضل شریفی میناب- انتقالی_ثبت پایا در شعبه بانکداري مدرن 1</t>
  </si>
  <si>
    <t>1-1403-10-IRR-7923908375</t>
  </si>
  <si>
    <t>12:07:12</t>
  </si>
  <si>
    <t>دریافت کارمزد ثبت پایا با شماره پیگیری 140306280702638536 _انتقالی _دریافت کارمزد ثبت پایا</t>
  </si>
  <si>
    <t>12:07:11</t>
  </si>
  <si>
    <t>انتقال از کارت 5041721220251467 متعلق به ابوالفضل شريفي ميناب (ابوالفضل شريفي ميناب) به کارت 5022291047909203 متعلق به ابوالفضل شریفی میناب از اينترنت 115 - پذيرنده سامانه پرداخت همراه بانک - بانک قرض الحسنه رسالت - شماره مرجع 1940273032 شماره پيگيري 140035_سند تراکنش کارت</t>
  </si>
  <si>
    <t>I12345150069</t>
  </si>
  <si>
    <t>1-1403-10-IRR-7917665198</t>
  </si>
  <si>
    <t>09:59:33</t>
  </si>
  <si>
    <t>انتقال وجه بابت شارژ کیف پول_سند انتقال وجه</t>
  </si>
  <si>
    <t>1-1403-10-IRR-7900172718</t>
  </si>
  <si>
    <t>09:44:49</t>
  </si>
  <si>
    <t>1403/06/26</t>
  </si>
  <si>
    <t>شعبه مجازی</t>
  </si>
  <si>
    <t>1-1403-10-IRR-7889531530</t>
  </si>
  <si>
    <t>23:37:51</t>
  </si>
  <si>
    <t>1403/06/24</t>
  </si>
  <si>
    <t>انتقال از کارت 6280231520610311 به کارت 5041721220251467 متعلق به ابوالفضل شريفي ميناب (ابوالفضل شريفي ميناب) از خودپرداز 760744 - بانک رفاه کارگران - شماره مرجع 425886830586 شماره پيگيري 830586_سند تراکنش کارت</t>
  </si>
  <si>
    <t>I12324648840</t>
  </si>
  <si>
    <t>1-1403-10-IRR-7886369727</t>
  </si>
  <si>
    <t>21:43:05</t>
  </si>
  <si>
    <t>انتقال از کارت 6280231530771244 به کارت 5041721220251467 متعلق به ابوالفضل شريفي ميناب (ابوالفضل شريفي ميناب) از کيوسک داراي کارتخوان 20011085 - بانک ملت - شماره مرجع 152299158770 شماره پيگيري 158770_سند تراکنش کارت</t>
  </si>
  <si>
    <t>I12324613803</t>
  </si>
  <si>
    <t>1-1403-10-IRR-7883426895</t>
  </si>
  <si>
    <t>21:36:40</t>
  </si>
  <si>
    <t>انتقال از کارت 6037991705788655 به کارت 5041721220251467 متعلق به ابوالفضل شريفي ميناب (ابوالفضل شريفي ميناب) از اينترنت 17592030 - بانک ملی - شماره مرجع 106592973930 شماره پيگيري 663140_سند تراکنش کارت</t>
  </si>
  <si>
    <t>I12324513812</t>
  </si>
  <si>
    <t>1-1403-10-IRR-7883404786</t>
  </si>
  <si>
    <t>21:19:41</t>
  </si>
  <si>
    <t>بابت برگشت عدم سفارش شیرینی</t>
  </si>
  <si>
    <t>کارمزد</t>
  </si>
  <si>
    <t>پ ت بخشی</t>
  </si>
  <si>
    <t>باربری</t>
  </si>
  <si>
    <t>کش قیطان</t>
  </si>
  <si>
    <t>نمیدانم</t>
  </si>
  <si>
    <t>فروش کارتن بازیافت</t>
  </si>
  <si>
    <t>قبض</t>
  </si>
  <si>
    <t>متفرقه</t>
  </si>
  <si>
    <t>پ ت بهمن آبادی</t>
  </si>
  <si>
    <t>کارتن بسته بندی</t>
  </si>
  <si>
    <t>کپسول آتش نشانی</t>
  </si>
  <si>
    <t>پ ت خواجه وند طلا کوب</t>
  </si>
  <si>
    <t>چسب 1 2 3</t>
  </si>
  <si>
    <t>پ ت طلاکوب خواجه وند</t>
  </si>
  <si>
    <t>پ ت گراور خش کلیشه سازی طلعت مدنی</t>
  </si>
  <si>
    <t>چسب 401</t>
  </si>
  <si>
    <t>پ ت برچسب متالایز یوز باشی</t>
  </si>
  <si>
    <t>پ ت قالب برای نوار طلایی سرویس</t>
  </si>
  <si>
    <t>پ ت خرید ابر لمینت بخشی</t>
  </si>
  <si>
    <t>پلاستیک بسته بندی</t>
  </si>
  <si>
    <t>پ ت خرید چوب چاوشی</t>
  </si>
  <si>
    <t>برداشت شخصی</t>
  </si>
  <si>
    <t>ثبت نمی خواهد بابت برگشت از خرید خطای پوز</t>
  </si>
  <si>
    <t>ثبت نمیخواهد خطای پوز</t>
  </si>
  <si>
    <t>ثبت نمی خواهد بیعانه شیرینی که برگشت خورده</t>
  </si>
  <si>
    <t>متفرقه همایش</t>
  </si>
  <si>
    <t>باربری ثبت شده است</t>
  </si>
  <si>
    <t>÷</t>
  </si>
  <si>
    <t>پرداخت حقوق</t>
  </si>
  <si>
    <t>Row Labels</t>
  </si>
  <si>
    <t>Grand Total</t>
  </si>
  <si>
    <t>Sum of واریز</t>
  </si>
  <si>
    <t>Sum of برداشت</t>
  </si>
  <si>
    <t>واریزی اشتباهی شخصی خانم عبدی</t>
  </si>
  <si>
    <t>پ ت مهدی شاملو بند شاپینگ بگ</t>
  </si>
  <si>
    <t xml:space="preserve">پ ت نوار چسب </t>
  </si>
  <si>
    <t>پ ت مقوا تصدیقی</t>
  </si>
  <si>
    <t>پ ت رول طلایی</t>
  </si>
  <si>
    <t>ثبت نمی خواهد</t>
  </si>
  <si>
    <t>رسید هزینه</t>
  </si>
  <si>
    <t>ملزومات تولید</t>
  </si>
  <si>
    <t>رسید دریافت پرداخت</t>
  </si>
  <si>
    <t>11، 12،13</t>
  </si>
  <si>
    <t xml:space="preserve"> قبلا مبلغ 2040000 تومان فاکتور خرید ثبت و پرداخت ثبت شده</t>
  </si>
  <si>
    <t>19،20،21</t>
  </si>
  <si>
    <t>پرداخت</t>
  </si>
  <si>
    <t>ثبت شود درست می شود</t>
  </si>
  <si>
    <t>برداشت نامشخص</t>
  </si>
  <si>
    <t>چسب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</si>
</sst>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##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B Nazanin"/>
      <charset val="178"/>
    </font>
    <font>
      <b/>
      <sz val="10"/>
      <color rgb="FF000000"/>
      <name val="B Nazanin"/>
      <charset val="178"/>
    </font>
    <font>
      <b/>
      <sz val="10"/>
      <color rgb="FFFFFFFF"/>
      <name val="B Nazanin"/>
      <charset val="178"/>
    </font>
    <font>
      <b/>
      <sz val="8"/>
      <color theme="1"/>
      <name val="B Nazanin"/>
      <charset val="178"/>
    </font>
    <font>
      <b/>
      <sz val="8"/>
      <color rgb="FFFFFFFF"/>
      <name val="B Nazanin"/>
      <charset val="178"/>
    </font>
    <font>
      <b/>
      <sz val="8"/>
      <color rgb="FF000000"/>
      <name val="B Nazanin"/>
      <charset val="178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3" fillId="2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164" fontId="2" fillId="4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164" fontId="2" fillId="9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top" wrapText="1"/>
    </xf>
    <xf numFmtId="0" fontId="6" fillId="5" borderId="1" xfId="0" applyNumberFormat="1" applyFont="1" applyFill="1" applyBorder="1" applyAlignment="1" applyProtection="1">
      <alignment horizontal="center" vertical="center" wrapText="1"/>
    </xf>
    <xf numFmtId="0" fontId="6" fillId="10" borderId="1" xfId="0" applyNumberFormat="1" applyFont="1" applyFill="1" applyBorder="1" applyAlignment="1" applyProtection="1">
      <alignment horizontal="center" vertical="center" wrapText="1"/>
    </xf>
    <xf numFmtId="0" fontId="6" fillId="13" borderId="1" xfId="0" applyNumberFormat="1" applyFont="1" applyFill="1" applyBorder="1" applyAlignment="1" applyProtection="1">
      <alignment horizontal="center" vertical="center" wrapText="1"/>
    </xf>
    <xf numFmtId="0" fontId="6" fillId="14" borderId="1" xfId="0" applyNumberFormat="1" applyFont="1" applyFill="1" applyBorder="1" applyAlignment="1" applyProtection="1">
      <alignment horizontal="center" vertical="center" wrapText="1"/>
    </xf>
    <xf numFmtId="0" fontId="6" fillId="15" borderId="1" xfId="0" applyNumberFormat="1" applyFont="1" applyFill="1" applyBorder="1" applyAlignment="1" applyProtection="1">
      <alignment horizontal="center" vertical="center" wrapText="1"/>
    </xf>
    <xf numFmtId="0" fontId="6" fillId="11" borderId="1" xfId="0" applyNumberFormat="1" applyFont="1" applyFill="1" applyBorder="1" applyAlignment="1" applyProtection="1">
      <alignment horizontal="center" vertical="center" wrapText="1"/>
    </xf>
    <xf numFmtId="0" fontId="6" fillId="16" borderId="1" xfId="0" applyNumberFormat="1" applyFont="1" applyFill="1" applyBorder="1" applyAlignment="1" applyProtection="1">
      <alignment horizontal="center" vertical="center" wrapText="1"/>
    </xf>
    <xf numFmtId="0" fontId="6" fillId="6" borderId="1" xfId="0" applyNumberFormat="1" applyFont="1" applyFill="1" applyBorder="1" applyAlignment="1" applyProtection="1">
      <alignment horizontal="center" vertical="center" wrapText="1"/>
    </xf>
    <xf numFmtId="0" fontId="6" fillId="8" borderId="1" xfId="0" applyNumberFormat="1" applyFont="1" applyFill="1" applyBorder="1" applyAlignment="1" applyProtection="1">
      <alignment horizontal="center" vertical="center" wrapText="1"/>
    </xf>
    <xf numFmtId="0" fontId="6" fillId="17" borderId="1" xfId="0" applyNumberFormat="1" applyFont="1" applyFill="1" applyBorder="1" applyAlignment="1" applyProtection="1">
      <alignment horizontal="center" vertical="center" wrapText="1"/>
    </xf>
    <xf numFmtId="0" fontId="6" fillId="18" borderId="1" xfId="0" applyNumberFormat="1" applyFont="1" applyFill="1" applyBorder="1" applyAlignment="1" applyProtection="1">
      <alignment horizontal="center" vertical="center" wrapText="1"/>
    </xf>
    <xf numFmtId="0" fontId="6" fillId="19" borderId="1" xfId="0" applyNumberFormat="1" applyFont="1" applyFill="1" applyBorder="1" applyAlignment="1" applyProtection="1">
      <alignment horizontal="center" vertical="center" wrapText="1"/>
    </xf>
    <xf numFmtId="0" fontId="6" fillId="2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/>
    <xf numFmtId="164" fontId="2" fillId="21" borderId="1" xfId="0" applyNumberFormat="1" applyFont="1" applyFill="1" applyBorder="1" applyAlignment="1" applyProtection="1">
      <alignment horizontal="center" vertical="center" wrapText="1"/>
    </xf>
    <xf numFmtId="164" fontId="2" fillId="2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6" borderId="1" xfId="0" applyNumberFormat="1" applyFont="1" applyFill="1" applyBorder="1" applyAlignment="1" applyProtection="1">
      <alignment horizontal="center" vertical="center" wrapText="1"/>
    </xf>
    <xf numFmtId="0" fontId="2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2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center" vertical="center" wrapText="1"/>
    </xf>
    <xf numFmtId="0" fontId="2" fillId="22" borderId="1" xfId="0" applyNumberFormat="1" applyFont="1" applyFill="1" applyBorder="1" applyAlignment="1" applyProtection="1">
      <alignment horizontal="center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165" fontId="1" fillId="0" borderId="3" xfId="1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22" borderId="7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1" fillId="0" borderId="4" xfId="0" pivotButton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1" fillId="21" borderId="0" xfId="0" applyNumberFormat="1" applyFont="1" applyFill="1" applyBorder="1" applyAlignment="1">
      <alignment horizontal="center" vertical="center"/>
    </xf>
    <xf numFmtId="165" fontId="1" fillId="21" borderId="7" xfId="0" applyNumberFormat="1" applyFont="1" applyFill="1" applyBorder="1" applyAlignment="1">
      <alignment horizontal="center" vertical="center"/>
    </xf>
    <xf numFmtId="0" fontId="1" fillId="21" borderId="7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/>
    </xf>
    <xf numFmtId="165" fontId="1" fillId="21" borderId="5" xfId="0" applyNumberFormat="1" applyFont="1" applyFill="1" applyBorder="1" applyAlignment="1">
      <alignment horizontal="center" vertical="center"/>
    </xf>
    <xf numFmtId="165" fontId="1" fillId="21" borderId="6" xfId="0" applyNumberFormat="1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165" fontId="1" fillId="22" borderId="0" xfId="0" applyNumberFormat="1" applyFont="1" applyFill="1" applyBorder="1" applyAlignment="1">
      <alignment horizontal="center" vertical="center"/>
    </xf>
    <xf numFmtId="0" fontId="1" fillId="22" borderId="7" xfId="0" applyFont="1" applyFill="1" applyBorder="1" applyAlignment="1">
      <alignment horizontal="center" vertical="center"/>
    </xf>
    <xf numFmtId="165" fontId="1" fillId="0" borderId="0" xfId="1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43" fontId="1" fillId="0" borderId="0" xfId="1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165" fontId="1" fillId="23" borderId="0" xfId="1" applyNumberFormat="1" applyFont="1" applyFill="1" applyAlignment="1">
      <alignment horizontal="center" vertical="center"/>
    </xf>
    <xf numFmtId="165" fontId="0" fillId="23" borderId="0" xfId="1" applyNumberFormat="1" applyFont="1" applyFill="1"/>
    <xf numFmtId="165" fontId="1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12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numFmt numFmtId="165" formatCode="_(* #,##0_);_(* \(#,##0\);_(* &quot;-&quot;??_);_(@_)"/>
    </dxf>
    <dxf>
      <numFmt numFmtId="166" formatCode="_(* #,##0.0_);_(* \(#,##0.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684.864478240743" createdVersion="6" refreshedVersion="6" minRefreshableVersion="3" recordCount="224">
  <cacheSource type="worksheet">
    <worksheetSource ref="A1:L225" sheet="report3"/>
  </cacheSource>
  <cacheFields count="12">
    <cacheField name="یادداشت" numFmtId="0">
      <sharedItems containsBlank="1" count="40">
        <s v="بابت برگشت عدم سفارش شیرینی"/>
        <s v="ملزومات تولید"/>
        <s v="متفرقه"/>
        <s v="باربری ثبت شده است"/>
        <s v="باربری"/>
        <s v="قبض"/>
        <s v="کش قیطان"/>
        <s v="کارمزد"/>
        <s v="پ ت گراور خش کلیشه سازی طلعت مدنی"/>
        <s v="متفرقه همایش"/>
        <s v="ثبت نمی خواهد بابت برگشت از خرید خطای پوز"/>
        <s v="ثبت نمیخواهد خطای پوز"/>
        <s v="ثبت نمی خواهد بیعانه شیرینی که برگشت خورده"/>
        <s v="واریز"/>
        <s v="برداشت شخصی"/>
        <s v="چسب 1 2 3"/>
        <s v="پ ت خرید چوب چاوشی"/>
        <s v="پلاستیک بسته بندی"/>
        <s v="پ ت خرید ابر لمینت بخشی"/>
        <s v="کارتن بسته بندی"/>
        <s v="نمیدانم"/>
        <s v="پ ت قالب برای نوار طلایی سرویس"/>
        <s v="پ ت برچسب متالایز یوز باشی"/>
        <s v="پ ت رول طلایی"/>
        <s v="چسب 401"/>
        <s v="پ ت مهدی شاملو بند شاپینگ بگ"/>
        <s v="پ ت نوار چسب "/>
        <s v="پ ت مقوا تصدیقی"/>
        <s v="پ ت طلاکوب خواجه وند"/>
        <s v="واریزی اشتباهی شخصی خانم عبدی"/>
        <s v="پ ت خواجه وند طلا کوب"/>
        <s v="کپسول آتش نشانی"/>
        <s v="پ ت بهمن آبادی"/>
        <s v="فروش کارتن بازیافت"/>
        <s v="پ ت بخشی"/>
        <s v="پرداخت حقوق"/>
        <m u="1"/>
        <s v="روبان" u="1"/>
        <s v="ملزومات" u="1"/>
        <s v="واریزی اشتباهی شخصی" u="1"/>
      </sharedItems>
    </cacheField>
    <cacheField name="مانده" numFmtId="164">
      <sharedItems containsMixedTypes="1" containsNumber="1" containsInteger="1" minValue="1339240" maxValue="644564030"/>
    </cacheField>
    <cacheField name="واریز" numFmtId="164">
      <sharedItems containsSemiMixedTypes="0" containsString="0" containsNumber="1" containsInteger="1" minValue="0" maxValue="100000000"/>
    </cacheField>
    <cacheField name="برداشت" numFmtId="164">
      <sharedItems containsSemiMixedTypes="0" containsString="0" containsNumber="1" containsInteger="1" minValue="0" maxValue="309050000"/>
    </cacheField>
    <cacheField name="توضیحات" numFmtId="0">
      <sharedItems longText="1"/>
    </cacheField>
    <cacheField name="شماره چک" numFmtId="0">
      <sharedItems containsNonDate="0" containsString="0" containsBlank="1"/>
    </cacheField>
    <cacheField name="شماره قبض" numFmtId="0">
      <sharedItems containsBlank="1"/>
    </cacheField>
    <cacheField name="شماره سند" numFmtId="0">
      <sharedItems/>
    </cacheField>
    <cacheField name="ساعت" numFmtId="0">
      <sharedItems/>
    </cacheField>
    <cacheField name="تاریخ" numFmtId="0">
      <sharedItems/>
    </cacheField>
    <cacheField name="شعبه" numFmtId="0">
      <sharedItems/>
    </cacheField>
    <cacheField name="ردیف" numFmtId="0">
      <sharedItems containsSemiMixedTypes="0" containsString="0" containsNumber="1" containsInteger="1" minValue="1" maxValue="2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">
  <r>
    <x v="0"/>
    <n v="86746464"/>
    <n v="20000000"/>
    <n v="0"/>
    <s v="انتقال از کارت 6104337910200466 به کارت 5041721220251467 متعلق به ابوالفضل شريفي ميناب (ابوالفضل شريفي ميناب) از اينترنت 200 - پذيرنده پایانه بانک ملت - بانک ملت - شماره مرجع 157565663817 شماره پيگيري 663817_سند تراکنش کارت"/>
    <m/>
    <s v="I13117038837"/>
    <s v="1-1403-10-IRR-9088281157"/>
    <s v="20:26:46"/>
    <s v="1403/11/03"/>
    <s v="ستاد"/>
    <n v="1"/>
  </r>
  <r>
    <x v="1"/>
    <n v="66746464"/>
    <n v="0"/>
    <n v="50000"/>
    <s v="خريد کالا و خدمات با کارت 5041721220251467 متعلق به ابوالفضل شريفي ميناب (ابوالفضل شريفي ميناب) از پايانه فروش 14644007 - پذيرنده ابزار نادر - پرداخت الکترونیک سامان - شماره مرجع 847538293612 شماره پيگيري 682068_سند تراکنش کارت"/>
    <m/>
    <s v="I13115608501"/>
    <s v="1-1403-10-IRR-9093956897"/>
    <s v="17:38:19"/>
    <s v="1403/11/03"/>
    <s v="ستاد"/>
    <n v="2"/>
  </r>
  <r>
    <x v="2"/>
    <n v="66796464"/>
    <n v="0"/>
    <n v="45000"/>
    <s v="خريد کالا و خدمات با کارت 5041721220251467 متعلق به ابوالفضل شريفي ميناب (ابوالفضل شريفي ميناب) از پايانه فروش 23071157 - پذيرنده Not - پرداخت الکترونیک سداد (2) - شماره مرجع 325749639257 شماره پيگيري 64534_سند تراکنش کارت"/>
    <m/>
    <s v="I13115596781"/>
    <s v="1-1403-10-IRR-9093953744"/>
    <s v="17:36:54"/>
    <s v="1403/11/03"/>
    <s v="ستاد"/>
    <n v="3"/>
  </r>
  <r>
    <x v="3"/>
    <n v="66841464"/>
    <n v="0"/>
    <n v="29710000"/>
    <s v="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560092114 شماره پيگيري 376089_سند تراکنش کارت"/>
    <m/>
    <s v="I13113947892"/>
    <s v="1-1403-10-IRR-9093466217"/>
    <s v="13:16:36"/>
    <s v="1403/11/03"/>
    <s v="ستاد"/>
    <n v="4"/>
  </r>
  <r>
    <x v="3"/>
    <n v="96551464"/>
    <n v="0"/>
    <n v="15700000"/>
    <s v="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0709138 شماره پيگيري 1460_سند تراکنش کارت"/>
    <m/>
    <s v="I13112773474"/>
    <s v="1-1403-10-IRR-9087119412"/>
    <s v="10:53:02"/>
    <s v="1403/11/03"/>
    <s v="ستاد"/>
    <n v="5"/>
  </r>
  <r>
    <x v="3"/>
    <n v="112251464"/>
    <n v="0"/>
    <n v="2358186"/>
    <s v="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464733276 شماره پيگيري 951732_سند تراکنش کارت"/>
    <m/>
    <s v="I13097651200"/>
    <s v="1-1403-10-IRR-9072420850"/>
    <s v="09:56:53"/>
    <s v="1403/11/01"/>
    <s v="ستاد"/>
    <n v="6"/>
  </r>
  <r>
    <x v="4"/>
    <n v="114609650"/>
    <n v="0"/>
    <n v="805640"/>
    <s v="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361666698 شماره پيگيري 470154_سند تراکنش کارت"/>
    <m/>
    <s v="I13072916787"/>
    <s v="1-1403-10-IRR-9033885163"/>
    <s v="09:37:52"/>
    <s v="1403/10/27"/>
    <s v="ستاد"/>
    <n v="7"/>
  </r>
  <r>
    <x v="4"/>
    <n v="115415290"/>
    <n v="0"/>
    <n v="770000"/>
    <s v="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361662574 شماره پيگيري 456030_سند تراکنش کارت"/>
    <m/>
    <s v="I13072915003"/>
    <s v="1-1403-10-IRR-9039933542"/>
    <s v="09:37:30"/>
    <s v="1403/10/27"/>
    <s v="ستاد"/>
    <n v="8"/>
  </r>
  <r>
    <x v="5"/>
    <n v="116185290"/>
    <n v="0"/>
    <n v="1177000"/>
    <s v="خريد کالا و خدمات با کارت 5041721220251467 متعلق به ابوالفضل شريفي ميناب (ابوالفضل شريفي ميناب) از اينترنت 2002002 - کارت اعتباری ایران کیش - شماره مرجع 415051632325 شماره پيگيري 531173_سند تراکنش کارت"/>
    <m/>
    <s v="I13068303798"/>
    <s v="1-1403-10-IRR-9028942130"/>
    <s v="13:04:06"/>
    <s v="1403/10/26"/>
    <s v="ستاد"/>
    <n v="9"/>
  </r>
  <r>
    <x v="4"/>
    <n v="117362290"/>
    <n v="0"/>
    <n v="12600000"/>
    <s v="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500728231 شماره پيگيري 476202_سند تراکنش کارت"/>
    <m/>
    <s v="I13067704346"/>
    <s v="1-1403-10-IRR-9028788612"/>
    <s v="11:40:59"/>
    <s v="1403/10/26"/>
    <s v="ستاد"/>
    <n v="10"/>
  </r>
  <r>
    <x v="1"/>
    <n v="129962290"/>
    <n v="0"/>
    <n v="600000"/>
    <s v="خريد کالا و خدمات با کارت 5041721220251467 متعلق به ابوالفضل شريفي ميناب (ابوالفضل شريفي ميناب) از پايانه فروش 70537077 - پذيرنده رنگ فروشی مانی - پرداخت الکترونیک پاسارگاد - شماره مرجع 142055601281 شماره پيگيري 9345_سند تراکنش کارت"/>
    <m/>
    <s v="I13067480415"/>
    <s v="1-1403-10-IRR-9025719241"/>
    <s v="11:11:18"/>
    <s v="1403/10/26"/>
    <s v="ستاد"/>
    <n v="11"/>
  </r>
  <r>
    <x v="6"/>
    <n v="130562290"/>
    <n v="0"/>
    <n v="3200000"/>
    <s v="خريد کالا و خدمات با کارت 5041721220251467 متعلق به ابوالفضل شريفي ميناب (ابوالفضل شريفي ميناب) از پايانه فروش 92111864 - پذيرنده خ راز ک امل - تجارت الکترونیک پارسیان - شماره مرجع 808365624579 شماره پيگيري 602007_سند تراکنش کارت"/>
    <m/>
    <s v="I13047198587"/>
    <s v="1-1403-10-IRR-8993325416"/>
    <s v="19:54:59"/>
    <s v="1403/10/22"/>
    <s v="ستاد"/>
    <n v="12"/>
  </r>
  <r>
    <x v="1"/>
    <n v="133762290"/>
    <n v="0"/>
    <n v="2910000"/>
    <s v="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741001966 شماره پيگيري 1966_سند تراکنش کارت"/>
    <m/>
    <s v="I13044518146"/>
    <s v="1-1403-10-IRR-8998579301"/>
    <s v="13:02:49"/>
    <s v="1403/10/22"/>
    <s v="ستاد"/>
    <n v="13"/>
  </r>
  <r>
    <x v="1"/>
    <n v="136672290"/>
    <n v="0"/>
    <n v="2960000"/>
    <s v="خريد کالا و خدمات با کارت 5041721220251467 متعلق به ابوالفضل شريفي ميناب (ابوالفضل شريفي ميناب) از پايانه فروش 33642264 - پذيرنده Not - پرداخت الکترونیک سداد (2) - شماره مرجع 325586224329 شماره پيگيري 4518_سند تراکنش کارت"/>
    <m/>
    <s v="I13030200150"/>
    <s v="1-1403-10-IRR-8966236644"/>
    <s v="18:46:22"/>
    <s v="1403/10/19"/>
    <s v="ستاد"/>
    <n v="14"/>
  </r>
  <r>
    <x v="4"/>
    <n v="139632290"/>
    <n v="0"/>
    <n v="719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79296790 شماره پيگيري 165364_سند تراکنش کارت"/>
    <m/>
    <s v="I13028430180"/>
    <s v="1-1403-10-IRR-8965764691"/>
    <s v="14:06:02"/>
    <s v="1403/10/19"/>
    <s v="ستاد"/>
    <n v="15"/>
  </r>
  <r>
    <x v="7"/>
    <n v="146822290"/>
    <n v="0"/>
    <n v="7200"/>
    <s v="برداشت از سپرده بابت کارمزد انتقال کارت به کارت و کارت به شبا(نامه 02.32780)_سند تراکنش کارت"/>
    <m/>
    <s v="I13028430180"/>
    <s v="1-1403-10-IRR-8965764691"/>
    <s v="14:06:02"/>
    <s v="1403/10/19"/>
    <s v="ستاد"/>
    <n v="16"/>
  </r>
  <r>
    <x v="1"/>
    <n v="146829490"/>
    <n v="0"/>
    <n v="2400000"/>
    <s v="خريد کالا و خدمات با کارت 5041721220251467 متعلق به ابوالفضل شريفي ميناب (ابوالفضل شريفي ميناب) از پايانه فروش 92217732 - پذيرنده رنگ فروشی مانی - تجارت الکترونیک پارسیان - شماره مرجع 745400563940 شماره پيگيري 218941_سند تراکنش کارت"/>
    <m/>
    <s v="I13027760070"/>
    <s v="1-1403-10-IRR-8965590734"/>
    <s v="12:28:54"/>
    <s v="1403/10/19"/>
    <s v="ستاد"/>
    <n v="17"/>
  </r>
  <r>
    <x v="1"/>
    <n v="149229490"/>
    <n v="0"/>
    <n v="1100000"/>
    <s v="خريد کالا و خدمات با کارت 5041721220251467 متعلق به ابوالفضل شريفي ميناب (ابوالفضل شريفي ميناب) از پايانه فروش 7133465 - پذيرنده پایانه به پرداخت ملت - به پرداخت ملت - شماره مرجع 295580198302 شماره پيگيري 198302_سند تراکنش کارت"/>
    <m/>
    <s v="I13027411363"/>
    <s v="1-1403-10-IRR-8971498985"/>
    <s v="11:43:18"/>
    <s v="1403/10/19"/>
    <s v="ستاد"/>
    <n v="18"/>
  </r>
  <r>
    <x v="4"/>
    <n v="150329490"/>
    <n v="0"/>
    <n v="17190000"/>
    <s v="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427203404 شماره پيگيري 765076_سند تراکنش کارت"/>
    <m/>
    <s v="I13014329385"/>
    <s v="1-1403-10-IRR-8950081012"/>
    <s v="08:39:19"/>
    <s v="1403/10/17"/>
    <s v="ستاد"/>
    <n v="19"/>
  </r>
  <r>
    <x v="8"/>
    <n v="167519490"/>
    <n v="0"/>
    <n v="18800000"/>
    <s v="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172440633 شماره پيگيري 309118_سند تراکنش کارت"/>
    <m/>
    <s v="I13009246613"/>
    <s v="1-1403-10-IRR-8941457866"/>
    <s v="11:17:35"/>
    <s v="1403/10/16"/>
    <s v="ستاد"/>
    <n v="20"/>
  </r>
  <r>
    <x v="7"/>
    <n v="186319490"/>
    <n v="0"/>
    <n v="10000"/>
    <s v="برداشت از سپرده بابت کارمزد انتقال کارت به کارت و کارت به شبا(نامه 02.32780)_سند تراکنش کارت"/>
    <m/>
    <s v="I13009246613"/>
    <s v="1-1403-10-IRR-8941457866"/>
    <s v="11:17:35"/>
    <s v="1403/10/16"/>
    <s v="ستاد"/>
    <n v="21"/>
  </r>
  <r>
    <x v="4"/>
    <n v="186329490"/>
    <n v="0"/>
    <n v="1090000"/>
    <s v="خريد کالا و خدمات با کارت 5041721220251467 متعلق به ابوالفضل شريفي ميناب (ابوالفضل شريفي ميناب) از پايانه فروش 11935586 - پذيرنده بازی های تفریحی زرین - پرداخت نوین آرین - شماره مرجع 500420780547 شماره پيگيري 780547_سند تراکنش کارت"/>
    <m/>
    <s v="I13006775311"/>
    <s v="1-1403-10-IRR-8930403745"/>
    <s v="20:10:27"/>
    <s v="1403/10/15"/>
    <s v="ستاد"/>
    <n v="22"/>
  </r>
  <r>
    <x v="9"/>
    <n v="187419490"/>
    <n v="0"/>
    <n v="37280000"/>
    <s v="خريد کالا و خدمات با کارت 5041721220251467 متعلق به ابوالفضل شريفي ميناب (ابوالفضل شريفي ميناب) از پايانه فروش 2189988 - پذيرنده شیرینی فدک - فن آوا کارت - شماره مرجع 093732386657 شماره پيگيري 386657_سند تراکنش کارت"/>
    <m/>
    <s v="I12996590526"/>
    <s v="1-1403-10-IRR-8916456788"/>
    <s v="20:24:52"/>
    <s v="1403/10/13"/>
    <s v="ستاد"/>
    <n v="23"/>
  </r>
  <r>
    <x v="9"/>
    <n v="224699490"/>
    <n v="0"/>
    <n v="1790000"/>
    <s v="خريد کالا و خدمات با کارت 5041721220251467 متعلق به ابوالفضل شريفي ميناب (ابوالفضل شريفي ميناب) از پايانه فروش 7777661 - پذيرنده پایانه به پرداخت ملت - به پرداخت ملت - شماره مرجع 295055641930 شماره پيگيري 641930_سند تراکنش کارت"/>
    <m/>
    <s v="I12993881395"/>
    <s v="1-1403-10-IRR-8912725472"/>
    <s v="13:05:56"/>
    <s v="1403/10/13"/>
    <s v="ستاد"/>
    <n v="24"/>
  </r>
  <r>
    <x v="9"/>
    <n v="226489490"/>
    <n v="0"/>
    <n v="3000000"/>
    <s v="خريد کالا و خدمات با کارت 5041721220251467 متعلق به ابوالفضل شريفي ميناب (ابوالفضل شريفي ميناب) از پايانه فروش 33075607 - پذيرنده Not - پرداخت الکترونیک سداد (2) - شماره مرجع 325512539899 شماره پيگيري 40568_سند تراکنش کارت"/>
    <m/>
    <s v="I12993816693"/>
    <s v="1-1403-10-IRR-8912709595"/>
    <s v="12:57:14"/>
    <s v="1403/10/13"/>
    <s v="ستاد"/>
    <n v="25"/>
  </r>
  <r>
    <x v="10"/>
    <n v="229489490"/>
    <n v="16800000"/>
    <n v="0"/>
    <s v="بند  برگشتی خريد کالا و خدمات با کارت 5041721220251467 متعلق به ابوالفضل شريفي ميناب (ابوالفضل شريفي ميناب) از پايانه فروش 5423910 - کارت اعتباری ایران کیش - شماره مرجع 239100014673 شماره پيگيري 13044_سند برگشتی: سند تراکنش کارت(1-1403-10-IRR-8915613065)"/>
    <m/>
    <s v="1000/I12993488207/79_reversed_specialOrganizations"/>
    <s v="1-1403-10-IRR-8918574058"/>
    <s v="12:17:32"/>
    <s v="1403/10/13"/>
    <s v="ستاد"/>
    <n v="26"/>
  </r>
  <r>
    <x v="11"/>
    <n v="212689490"/>
    <n v="0"/>
    <n v="16800000"/>
    <s v="انتقال از کارت 5041721220251467 متعلق به ابوالفضل شريفي ميناب (ابوالفضل شريفي ميناب) به کارت 5892101463069431 متعلق به حسن سحرخیز از اينترنت 115 - پذيرنده سامانه پرداخت همراه بانک - بانک قرض الحسنه رسالت - شماره مرجع 166907813 شماره پيگيري 776227_سند تراکنش کارت"/>
    <m/>
    <s v="I12993507368"/>
    <s v="1-1403-10-IRR-8915618393"/>
    <s v="12:17:23"/>
    <s v="1403/10/13"/>
    <s v="ستاد"/>
    <n v="27"/>
  </r>
  <r>
    <x v="7"/>
    <n v="229489490"/>
    <n v="0"/>
    <n v="10000"/>
    <s v="برداشت از سپرده بابت کارمزد انتقال کارت به کارت و کارت به شبا(نامه 02.32780)_سند تراکنش کارت"/>
    <m/>
    <s v="I12993507368"/>
    <s v="1-1403-10-IRR-8915618393"/>
    <s v="12:17:23"/>
    <s v="1403/10/13"/>
    <s v="ستاد"/>
    <n v="28"/>
  </r>
  <r>
    <x v="2"/>
    <n v="229499490"/>
    <n v="0"/>
    <n v="16800000"/>
    <s v="خريد کالا و خدمات با کارت 5041721220251467 متعلق به ابوالفضل شريفي ميناب (ابوالفضل شريفي ميناب) از پايانه فروش 5423910 - کارت اعتباری ایران کیش - شماره مرجع 239100014673 شماره پيگيري 13044_سند تراکنش کارت"/>
    <m/>
    <s v="I12993488207"/>
    <s v="1-1403-10-IRR-8915613065"/>
    <s v="12:12:54"/>
    <s v="1403/10/13"/>
    <s v="ستاد"/>
    <n v="29"/>
  </r>
  <r>
    <x v="2"/>
    <n v="246299490"/>
    <n v="0"/>
    <n v="1098000"/>
    <s v="خريد کالا و خدمات با کارت 5041721220251467 متعلق به ابوالفضل شريفي ميناب (ابوالفضل شريفي ميناب) از پايانه فروش 12455346 - پذيرنده کوروش لار میدان طاووس - پرداخت الکترونیک سامان - شماره مرجع 846982052555 شماره پيگيري 951011_سند تراکنش کارت"/>
    <m/>
    <s v="I12992950987"/>
    <s v="1-1403-10-IRR-8915463864"/>
    <s v="11:02:46"/>
    <s v="1403/10/13"/>
    <s v="ستاد"/>
    <n v="30"/>
  </r>
  <r>
    <x v="12"/>
    <n v="247397490"/>
    <n v="0"/>
    <n v="20000000"/>
    <s v="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307727000 شماره پيگيري 727000_سند تراکنش کارت"/>
    <m/>
    <s v="I12992917778"/>
    <s v="1-1403-10-IRR-8915447543"/>
    <s v="10:58:04"/>
    <s v="1403/10/13"/>
    <s v="ستاد"/>
    <n v="31"/>
  </r>
  <r>
    <x v="4"/>
    <n v="267397490"/>
    <n v="0"/>
    <n v="1269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65927054 شماره پيگيري 795462_سند تراکنش کارت"/>
    <m/>
    <s v="I12990872134"/>
    <s v="1-1403-10-IRR-8904458705"/>
    <s v="20:28:07"/>
    <s v="1403/10/12"/>
    <s v="ستاد"/>
    <n v="32"/>
  </r>
  <r>
    <x v="7"/>
    <n v="280087490"/>
    <n v="0"/>
    <n v="10000"/>
    <s v="برداشت از سپرده بابت کارمزد انتقال کارت به کارت و کارت به شبا(نامه 02.32780)_سند تراکنش کارت"/>
    <m/>
    <s v="I12990872134"/>
    <s v="1-1403-10-IRR-8904458705"/>
    <s v="20:28:07"/>
    <s v="1403/10/12"/>
    <s v="ستاد"/>
    <n v="33"/>
  </r>
  <r>
    <x v="2"/>
    <n v="280097490"/>
    <n v="0"/>
    <n v="150000"/>
    <s v="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5980190 شماره پيگيري 466_سند تراکنش کارت"/>
    <m/>
    <s v="I12984822881"/>
    <s v="1-1403-10-IRR-8898541930"/>
    <s v="20:16:50"/>
    <s v="1403/10/11"/>
    <s v="ستاد"/>
    <n v="34"/>
  </r>
  <r>
    <x v="2"/>
    <n v="280247490"/>
    <n v="0"/>
    <n v="800000"/>
    <s v="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3457549 شماره پيگيري 220_سند تراکنش کارت"/>
    <m/>
    <s v="I12975675401"/>
    <s v="1-1403-10-IRR-8889197480"/>
    <s v="12:40:18"/>
    <s v="1403/10/10"/>
    <s v="ستاد"/>
    <n v="35"/>
  </r>
  <r>
    <x v="2"/>
    <n v="281047490"/>
    <n v="0"/>
    <n v="4900000"/>
    <s v="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4210868 شماره پيگيري 3744_سند تراکنش کارت"/>
    <m/>
    <s v="I12975633676"/>
    <s v="1-1403-10-IRR-8883175287"/>
    <s v="12:35:02"/>
    <s v="1403/10/10"/>
    <s v="ستاد"/>
    <n v="36"/>
  </r>
  <r>
    <x v="1"/>
    <n v="285947490"/>
    <n v="0"/>
    <n v="400000"/>
    <s v="خريد کالا و خدمات با کارت 5041721220251467 متعلق به ابوالفضل شريفي ميناب (ابوالفضل شريفي ميناب) از پايانه فروش 92192480 - پذيرنده فروشکاه رحیمی - تجارت الکترونیک پارسیان - شماره مرجع 745314343084 شماره پيگيري 443085_سند تراکنش کارت"/>
    <m/>
    <s v="I12971159151"/>
    <s v="1-1403-10-IRR-8880734728"/>
    <s v="17:41:21"/>
    <s v="1403/10/09"/>
    <s v="ستاد"/>
    <n v="37"/>
  </r>
  <r>
    <x v="4"/>
    <n v="286347490"/>
    <n v="0"/>
    <n v="698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56070205 شماره پيگيري 938796_سند تراکنش کارت"/>
    <m/>
    <s v="I12963254834"/>
    <s v="1-1403-10-IRR-8871219494"/>
    <s v="12:46:59"/>
    <s v="1403/10/08"/>
    <s v="ستاد"/>
    <n v="38"/>
  </r>
  <r>
    <x v="7"/>
    <n v="293327490"/>
    <n v="0"/>
    <n v="7200"/>
    <s v="برداشت از سپرده بابت کارمزد انتقال کارت به کارت و کارت به شبا(نامه 02.32780)_سند تراکنش کارت"/>
    <m/>
    <s v="I12963254834"/>
    <s v="1-1403-10-IRR-8871219494"/>
    <s v="12:46:59"/>
    <s v="1403/10/08"/>
    <s v="ستاد"/>
    <n v="39"/>
  </r>
  <r>
    <x v="2"/>
    <n v="293334690"/>
    <n v="0"/>
    <n v="700000"/>
    <s v="خريد کالا و خدمات با کارت 5041721220251467 متعلق به ابوالفضل شريفي ميناب (ابوالفضل شريفي ميناب) از پايانه فروش 64026842 - پذيرنده پرداخت الکترونیک سپهر - مبنا کارت آریا (اینفوتک) - شماره مرجع 128284125310 شماره پيگيري 125310_سند تراکنش کارت"/>
    <m/>
    <s v="I12955864303"/>
    <s v="1-1403-10-IRR-8854645852"/>
    <s v="20:51:10"/>
    <s v="1403/10/06"/>
    <s v="ستاد"/>
    <n v="40"/>
  </r>
  <r>
    <x v="2"/>
    <n v="294034690"/>
    <n v="0"/>
    <n v="2120000"/>
    <s v="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282823788 شماره پيگيري 823788_سند تراکنش کارت"/>
    <m/>
    <s v="I12954349275"/>
    <s v="1-1403-10-IRR-8848393802"/>
    <s v="17:28:14"/>
    <s v="1403/10/06"/>
    <s v="ستاد"/>
    <n v="41"/>
  </r>
  <r>
    <x v="2"/>
    <n v="296154690"/>
    <n v="0"/>
    <n v="820000"/>
    <s v="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281024298 شماره پيگيري 24298_سند تراکنش کارت"/>
    <m/>
    <s v="I12952301607"/>
    <s v="1-1403-10-IRR-8850851106"/>
    <s v="12:08:22"/>
    <s v="1403/10/06"/>
    <s v="ستاد"/>
    <n v="42"/>
  </r>
  <r>
    <x v="4"/>
    <n v="296974690"/>
    <n v="0"/>
    <n v="771540"/>
    <s v="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427128515 شماره پيگيري 18325_سند تراکنش کارت"/>
    <m/>
    <s v="I12951259336"/>
    <s v="1-1403-10-IRR-8850553761"/>
    <s v="09:52:58"/>
    <s v="1403/10/06"/>
    <s v="ستاد"/>
    <n v="43"/>
  </r>
  <r>
    <x v="13"/>
    <n v="297746230"/>
    <n v="49000000"/>
    <n v="0"/>
    <s v="انتقال از کارت 6037997514701326 به کارت 5041721220251467 متعلق به ابوالفضل شريفي ميناب (ابوالفضل شريفي ميناب) از اينترنت 17592030 - پذيرنده ص خشمان - بانک ملی - شماره مرجع 994681817466 شماره پيگيري 23115_سند تراکنش کارت"/>
    <m/>
    <s v="I12941245243"/>
    <s v="1-1403-10-IRR-8830902021"/>
    <s v="17:02:07"/>
    <s v="1403/10/04"/>
    <s v="ستاد"/>
    <n v="44"/>
  </r>
  <r>
    <x v="14"/>
    <n v="248746230"/>
    <n v="0"/>
    <n v="23000000"/>
    <s v="خريد کالا و خدمات با کارت 5041721220251467 متعلق به ابوالفضل شريفي ميناب (ابوالفضل شريفي ميناب) از پايانه فروش 795185 - پذيرنده ساع ت رولکس - پرداخت الکترونیک پاسارگاد - شماره مرجع 141010701765 شماره پيگيري 8873_سند تراکنش کارت"/>
    <m/>
    <s v="I12925997558"/>
    <s v="1-1403-10-IRR-8815490207"/>
    <s v="12:33:14"/>
    <s v="1403/10/02"/>
    <s v="ستاد"/>
    <n v="45"/>
  </r>
  <r>
    <x v="15"/>
    <n v="271746230"/>
    <n v="0"/>
    <n v="20400000"/>
    <s v="انتقال از کارت 5041721220251467 متعلق به ابوالفضل شريفي ميناب (ابوالفضل شريفي ميناب) به کارت 6104338691886879 متعلق به  رضا  جعفری طادی از اينترنت 115 - پذيرنده سامانه پرداخت همراه بانک - بانک قرض الحسنه رسالت - شماره مرجع 142337714 شماره پيگيري 206135_سند تراکنش کارت"/>
    <m/>
    <s v="I12925343470"/>
    <s v="1-1403-10-IRR-8815315730"/>
    <s v="11:15:54"/>
    <s v="1403/10/02"/>
    <s v="ستاد"/>
    <n v="46"/>
  </r>
  <r>
    <x v="7"/>
    <n v="292146230"/>
    <n v="0"/>
    <n v="12800"/>
    <s v="برداشت از سپرده بابت کارمزد انتقال کارت به کارت و کارت به شبا(نامه 02.32780)_سند تراکنش کارت"/>
    <m/>
    <s v="I12925343470"/>
    <s v="1-1403-10-IRR-8815315730"/>
    <s v="11:15:54"/>
    <s v="1403/10/02"/>
    <s v="ستاد"/>
    <n v="47"/>
  </r>
  <r>
    <x v="13"/>
    <n v="292159030"/>
    <n v="69600000"/>
    <n v="0"/>
    <s v="انتقال از کارت 6104337683296758 به کارت 5041721220251467 متعلق به ابوالفضل شريفي ميناب (ابوالفضل شريفي ميناب) از اينترنت 200 - پذيرنده پایانه بانک ملت - بانک ملت - شماره مرجع 156267044637 شماره پيگيري 44637_سند تراکنش کارت"/>
    <m/>
    <s v="I12921069644"/>
    <s v="1-1403-10-IRR-8810407549"/>
    <s v="18:02:46"/>
    <s v="1403/10/01"/>
    <s v="ستاد"/>
    <n v="48"/>
  </r>
  <r>
    <x v="16"/>
    <n v="222559030"/>
    <n v="0"/>
    <n v="150000000"/>
    <s v="ثبت پایا با شماره پیگیری 140310010702400935 به مقصد بانک صادرات و شبای IR130190000000112537186009 و ذینفع سیدمحمد چاوشی‌- انتقالی_ثبت پایا در شعبه بانکداري مدرن 1"/>
    <m/>
    <s v="1734778730826_99990003"/>
    <s v="1-1403-10-IRR-8803504160"/>
    <s v="10:58:52"/>
    <s v="1403/10/01"/>
    <s v="ستاد"/>
    <n v="49"/>
  </r>
  <r>
    <x v="7"/>
    <n v="372559030"/>
    <n v="0"/>
    <n v="15000"/>
    <s v="دریافت کارمزد ثبت پایا با شماره پیگیری 140310010702400935 _انتقالی _دریافت کارمزد ثبت پایا"/>
    <m/>
    <s v="1734778730826_99990003"/>
    <s v="1-1403-10-IRR-8803504160"/>
    <s v="10:58:51"/>
    <s v="1403/10/01"/>
    <s v="ستاد"/>
    <n v="50"/>
  </r>
  <r>
    <x v="13"/>
    <n v="372574030"/>
    <n v="40000000"/>
    <n v="0"/>
    <s v="انتقال از کارت 6104338624693293 به کارت 5041721220251467 متعلق به ابوالفضل شريفي ميناب (ابوالفضل شريفي ميناب) از اينترنت 200 - پذيرنده پایانه بانک ملت - بانک ملت - شماره مرجع 156159493326 شماره پيگيري 493326_سند تراکنش کارت"/>
    <m/>
    <s v="I12905241093"/>
    <s v="1-1403-10-IRR-8786123009"/>
    <s v="11:26:54"/>
    <s v="1403/09/29"/>
    <s v="ستاد"/>
    <n v="51"/>
  </r>
  <r>
    <x v="17"/>
    <n v="332574030"/>
    <n v="0"/>
    <n v="2910000"/>
    <s v="خريد کالا و خدمات با کارت 5041721220251467 متعلق به ابوالفضل شريفي ميناب (ابوالفضل شريفي ميناب) از پايانه فروش 13518438 - کارت اعتباری ایران کیش - شماره مرجع 184383538491 شماره پيگيري 13696_سند تراکنش کارت"/>
    <m/>
    <s v="I12904998040"/>
    <s v="1-1403-10-IRR-8789041765"/>
    <s v="10:59:59"/>
    <s v="1403/09/29"/>
    <s v="ستاد"/>
    <n v="52"/>
  </r>
  <r>
    <x v="18"/>
    <n v="335484030"/>
    <n v="0"/>
    <n v="309050000"/>
    <s v="ثبت پایا با شماره پیگیری 140309290702230592 به مقصد بانک صادرات و شبای IR250190000000115378561009 و ذینفع ‌احمد ‌علی‌ بخشی‌- انتقالی_ثبت پایا در شعبه بانکداري مدرن 1"/>
    <m/>
    <s v="1734567955803_99990003"/>
    <s v="1-1403-10-IRR-8784648456"/>
    <s v="00:25:56"/>
    <s v="1403/09/29"/>
    <s v="ستاد"/>
    <n v="53"/>
  </r>
  <r>
    <x v="7"/>
    <n v="644534030"/>
    <n v="0"/>
    <n v="30000"/>
    <s v="دریافت کارمزد ثبت پایا با شماره پیگیری 140309290702230592 _انتقالی _دریافت کارمزد ثبت پایا"/>
    <m/>
    <s v="1734567955803_99990003"/>
    <s v="1-1403-10-IRR-8784648456"/>
    <s v="00:25:56"/>
    <s v="1403/09/29"/>
    <s v="ستاد"/>
    <n v="54"/>
  </r>
  <r>
    <x v="13"/>
    <n v="644564030"/>
    <n v="100000000"/>
    <n v="0"/>
    <s v="انتقال از کارت 6393461040541969 به کارت 5041721220251467 متعلق به ابوالفضل شريفي ميناب (ابوالفضل شريفي ميناب) از خودپرداز 1297 - پذيرنده گراش - بانک پارسیان - شماره مرجع 732906062238 شماره پيگيري 555034_سند تراکنش کارت"/>
    <m/>
    <s v="I12902148322"/>
    <s v="1-1403-10-IRR-8781080097"/>
    <s v="20:06:44"/>
    <s v="1403/09/28"/>
    <s v="ستاد"/>
    <n v="55"/>
  </r>
  <r>
    <x v="13"/>
    <n v="544564030"/>
    <n v="100000000"/>
    <n v="0"/>
    <s v="انتقال از کارت 6063731233144071 به کارت 5041721220251467 متعلق به ابوالفضل شريفي ميناب (ابوالفضل شريفي ميناب) از خودپرداز 2407 - پذيرنده گراش - بانک پارسیان - شماره مرجع 732905995758 شماره پيگيري 534553_سند تراکنش کارت"/>
    <m/>
    <s v="I12902021184"/>
    <s v="1-1403-10-IRR-8784281386"/>
    <s v="19:51:59"/>
    <s v="1403/09/28"/>
    <s v="ستاد"/>
    <n v="56"/>
  </r>
  <r>
    <x v="13"/>
    <n v="444564030"/>
    <n v="20000000"/>
    <n v="0"/>
    <s v="انتقال از کارت 5057851028687843 به کارت 5041721220251467 متعلق به ابوالفضل شريفي ميناب (ابوالفضل شريفي ميناب) از خودپرداز 74305373 - بانک تجارت (2) - شماره مرجع 537335271401 شماره پيگيري 537391_سند تراکنش کارت"/>
    <m/>
    <s v="I12902004264"/>
    <s v="1-1403-10-IRR-8781046473"/>
    <s v="19:50:04"/>
    <s v="1403/09/28"/>
    <s v="ستاد"/>
    <n v="57"/>
  </r>
  <r>
    <x v="13"/>
    <n v="424564030"/>
    <n v="80000000"/>
    <n v="0"/>
    <s v="انتقال از کارت 5892101597650528 به کارت 5041721220251467 متعلق به ابوالفضل شريفي ميناب (ابوالفضل شريفي ميناب) از خودپرداز 74305373 - بانک تجارت (2) - شماره مرجع 537335271313 شماره پيگيري 537389_سند تراکنش کارت"/>
    <m/>
    <s v="I12901991152"/>
    <s v="1-1403-10-IRR-8781043560"/>
    <s v="19:48:37"/>
    <s v="1403/09/28"/>
    <s v="ستاد"/>
    <n v="58"/>
  </r>
  <r>
    <x v="13"/>
    <n v="344564030"/>
    <n v="10000000"/>
    <n v="0"/>
    <s v="انتقال از کارت 5892101593865252 به کارت 5041721220251467 متعلق به ابوالفضل شريفي ميناب (ابوالفضل شريفي ميناب) از خودپرداز 16592 - پذيرنده انیاک هفتاد و پنج - بانک شهر (2) - شماره مرجع 130098610612 شماره پيگيري 610612_سند تراکنش کارت"/>
    <m/>
    <s v="I12901168984"/>
    <s v="1-1403-10-IRR-8777979399"/>
    <s v="18:20:01"/>
    <s v="1403/09/28"/>
    <s v="ستاد"/>
    <n v="59"/>
  </r>
  <r>
    <x v="4"/>
    <n v="334564030"/>
    <n v="0"/>
    <n v="4350000"/>
    <s v="خريد کالا و خدمات با کارت 5041721220251467 متعلق به ابوالفضل شريفي ميناب (ابوالفضل شريفي ميناب) از پايانه فروش 11897604 - پذيرنده پایانه شماره 40679811 - پرداخت نوین آرین - شماره مرجع 510256704924 شماره پيگيري 541475_سند تراکنش کارت"/>
    <m/>
    <s v="I12886456210"/>
    <s v="1-1403-10-IRR-8763314902"/>
    <s v="12:22:11"/>
    <s v="1403/09/26"/>
    <s v="ستاد"/>
    <n v="60"/>
  </r>
  <r>
    <x v="5"/>
    <n v="338914030"/>
    <n v="0"/>
    <n v="1177000"/>
    <s v="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023335052142 شماره پيگيري 718827_سند تراکنش کارت"/>
    <m/>
    <s v="I12886267683"/>
    <s v="1-1403-10-IRR-8760278839"/>
    <s v="11:57:14"/>
    <s v="1403/09/26"/>
    <s v="ستاد"/>
    <n v="61"/>
  </r>
  <r>
    <x v="4"/>
    <n v="340091030"/>
    <n v="0"/>
    <n v="1965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27538555 شماره پيگيري 406798_سند تراکنش کارت"/>
    <m/>
    <s v="I12883478058"/>
    <s v="1-1403-10-IRR-8755609832"/>
    <s v="19:30:32"/>
    <s v="1403/09/25"/>
    <s v="ستاد"/>
    <n v="62"/>
  </r>
  <r>
    <x v="7"/>
    <n v="359741030"/>
    <n v="0"/>
    <n v="10000"/>
    <s v="برداشت از سپرده بابت کارمزد انتقال کارت به کارت و کارت به شبا(نامه 02.32780)_سند تراکنش کارت"/>
    <m/>
    <s v="I12883478058"/>
    <s v="1-1403-10-IRR-8755609832"/>
    <s v="19:30:32"/>
    <s v="1403/09/25"/>
    <s v="ستاد"/>
    <n v="63"/>
  </r>
  <r>
    <x v="2"/>
    <n v="359751030"/>
    <n v="0"/>
    <n v="4400000"/>
    <s v="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9041544 شماره پيگيري 3360_سند تراکنش کارت"/>
    <m/>
    <s v="I12881563833"/>
    <s v="1-1403-10-IRR-8755131807"/>
    <s v="14:23:17"/>
    <s v="1403/09/25"/>
    <s v="ستاد"/>
    <n v="64"/>
  </r>
  <r>
    <x v="4"/>
    <n v="364151030"/>
    <n v="0"/>
    <n v="983696"/>
    <s v="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287759995 شماره پيگيري 18009_سند تراکنش کارت"/>
    <m/>
    <s v="I12879760164"/>
    <s v="1-1403-10-IRR-8751731345"/>
    <s v="09:32:53"/>
    <s v="1403/09/25"/>
    <s v="ستاد"/>
    <n v="65"/>
  </r>
  <r>
    <x v="8"/>
    <n v="365134726"/>
    <n v="0"/>
    <n v="10000000"/>
    <s v="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124935913 شماره پيگيري 804115_سند تراکنش کارت"/>
    <m/>
    <s v="I12876126015"/>
    <s v="1-1403-10-IRR-8746366458"/>
    <s v="15:51:17"/>
    <s v="1403/09/24"/>
    <s v="ستاد"/>
    <n v="66"/>
  </r>
  <r>
    <x v="7"/>
    <n v="375134726"/>
    <n v="0"/>
    <n v="7200"/>
    <s v="برداشت از سپرده بابت کارمزد انتقال کارت به کارت و کارت به شبا(نامه 02.32780)_سند تراکنش کارت"/>
    <m/>
    <s v="I12876126015"/>
    <s v="1-1403-10-IRR-8746366458"/>
    <s v="15:51:17"/>
    <s v="1403/09/24"/>
    <s v="ستاد"/>
    <n v="67"/>
  </r>
  <r>
    <x v="19"/>
    <n v="375141926"/>
    <n v="0"/>
    <n v="24100000"/>
    <s v="انتقال از کارت 5041721220251467 متعلق به ابوالفضل شريفي ميناب (ابوالفضل شريفي ميناب) به کارت 6063731025135592 متعلق به ایمان یوسفی از اينترنت 115 - پذيرنده سامانه پرداخت همراه بانک - بانک قرض الحسنه رسالت - شماره مرجع 124230285 شماره پيگيري 98489_سند تراکنش کارت"/>
    <m/>
    <s v="I12874213813"/>
    <s v="1-1403-10-IRR-8745794014"/>
    <s v="10:36:36"/>
    <s v="1403/09/24"/>
    <s v="ستاد"/>
    <n v="68"/>
  </r>
  <r>
    <x v="7"/>
    <n v="399241926"/>
    <n v="0"/>
    <n v="12800"/>
    <s v="برداشت از سپرده بابت کارمزد انتقال کارت به کارت و کارت به شبا(نامه 02.32780)_سند تراکنش کارت"/>
    <m/>
    <s v="I12874213813"/>
    <s v="1-1403-10-IRR-8745794014"/>
    <s v="10:36:35"/>
    <s v="1403/09/24"/>
    <s v="ستاد"/>
    <n v="69"/>
  </r>
  <r>
    <x v="5"/>
    <n v="399254726"/>
    <n v="0"/>
    <n v="220000"/>
    <s v="خريد کالا و خدمات با کارت 5041721220251467 متعلق به ابوالفضل شريفي ميناب (ابوالفضل شريفي ميناب) از اينترنت 2002002 - کارت اعتباری ایران کیش - شماره مرجع 205549027624 شماره پيگيري 495721_سند تراکنش کارت"/>
    <m/>
    <s v="I12854553681"/>
    <s v="1-1403-10-IRR-8708209777"/>
    <s v="18:11:49"/>
    <s v="1403/09/20"/>
    <s v="ستاد"/>
    <n v="70"/>
  </r>
  <r>
    <x v="5"/>
    <n v="399474726"/>
    <n v="0"/>
    <n v="220000"/>
    <s v="خريد کالا و خدمات با کارت 5041721220251467 متعلق به ابوالفضل شريفي ميناب (ابوالفضل شريفي ميناب) از اينترنت 2002002 - کارت اعتباری ایران کیش - شماره مرجع 414865308224 شماره پيگيري 667734_سند تراکنش کارت"/>
    <m/>
    <s v="I12852547482"/>
    <s v="1-1403-10-IRR-8710653756"/>
    <s v="12:40:27"/>
    <s v="1403/09/20"/>
    <s v="ستاد"/>
    <n v="71"/>
  </r>
  <r>
    <x v="20"/>
    <n v="399694726"/>
    <n v="0"/>
    <n v="950000"/>
    <s v="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9938221 شماره پيگيري 21636_سند تراکنش کارت"/>
    <m/>
    <s v="I12852014281"/>
    <s v="1-1403-10-IRR-8713532329"/>
    <s v="11:29:01"/>
    <s v="1403/09/20"/>
    <s v="ستاد"/>
    <n v="72"/>
  </r>
  <r>
    <x v="2"/>
    <n v="400644726"/>
    <n v="0"/>
    <n v="2200000"/>
    <s v="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0966650 شماره پيگيري 3192_سند تراکنش کارت"/>
    <m/>
    <s v="I12851944843"/>
    <s v="1-1403-10-IRR-8710478868"/>
    <s v="11:19:43"/>
    <s v="1403/09/20"/>
    <s v="ستاد"/>
    <n v="73"/>
  </r>
  <r>
    <x v="13"/>
    <n v="402844726"/>
    <n v="100000000"/>
    <n v="0"/>
    <s v="انتقال از کارت 6104338686010394 به کارت 5041721220251467 متعلق به ابوالفضل شريفي ميناب (ابوالفضل شريفي ميناب) از خودپرداز 106454   - پذيرنده مرکزی - بانک سپه - شماره مرجع 088468319331 شماره پيگيري 7137_سند تراکنش کارت"/>
    <m/>
    <s v="I12848045284"/>
    <s v="1-1403-10-IRR-8699613886"/>
    <s v="17:23:02"/>
    <s v="1403/09/19"/>
    <s v="ستاد"/>
    <n v="74"/>
  </r>
  <r>
    <x v="5"/>
    <n v="302844726"/>
    <n v="0"/>
    <n v="200000"/>
    <s v="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114202296 شماره پيگيري 70375_سند تراکنش کارت"/>
    <m/>
    <s v="I12845572078"/>
    <s v="1-1403-10-IRR-8701948503"/>
    <s v="10:39:45"/>
    <s v="1403/09/19"/>
    <s v="ستاد"/>
    <n v="75"/>
  </r>
  <r>
    <x v="4"/>
    <n v="303044726"/>
    <n v="0"/>
    <n v="400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04929039 شماره پيگيري 797012_سند تراکنش کارت"/>
    <m/>
    <s v="I12819111335"/>
    <s v="1-1403-10-IRR-8657150433"/>
    <s v="13:11:04"/>
    <s v="1403/09/14"/>
    <s v="ستاد"/>
    <n v="76"/>
  </r>
  <r>
    <x v="7"/>
    <n v="307044726"/>
    <n v="0"/>
    <n v="7200"/>
    <s v="برداشت از سپرده بابت کارمزد انتقال کارت به کارت و کارت به شبا(نامه 02.32780)_سند تراکنش کارت"/>
    <m/>
    <s v="I12819111335"/>
    <s v="1-1403-10-IRR-8657150433"/>
    <s v="13:11:04"/>
    <s v="1403/09/14"/>
    <s v="ستاد"/>
    <n v="77"/>
  </r>
  <r>
    <x v="13"/>
    <n v="307051926"/>
    <n v="50000000"/>
    <n v="0"/>
    <s v="انتقال از کارت 5859831037769618 به کارت 5041721220251467 متعلق به ابوالفضل شريفي ميناب (ابوالفضل شريفي ميناب) از خودپرداز 107216   - پذيرنده مرکزی - بانک توسعه تعاون - شماره مرجع 012950098382 شماره پيگيري 7999_سند تراکنش کارت"/>
    <m/>
    <s v="I12808993866"/>
    <s v="1-1403-10-IRR-8630415919"/>
    <s v="19:03:42"/>
    <s v="1403/09/12"/>
    <s v="ستاد"/>
    <n v="78"/>
  </r>
  <r>
    <x v="13"/>
    <n v="257051926"/>
    <n v="100000000"/>
    <n v="0"/>
    <s v="انتقال از کارت 6037697535940057 به کارت 5041721220251467 متعلق به ابوالفضل شريفي ميناب (ابوالفضل شريفي ميناب) از خودپرداز 107216   - پذيرنده مرکزی - بانک توسعه تعاون - شماره مرجع 012950182294 شماره پيگيري 7995_سند تراکنش کارت"/>
    <m/>
    <s v="I12808974410"/>
    <s v="1-1403-10-IRR-8621704567"/>
    <s v="19:01:16"/>
    <s v="1403/09/12"/>
    <s v="ستاد"/>
    <n v="79"/>
  </r>
  <r>
    <x v="13"/>
    <n v="157051926"/>
    <n v="100000000"/>
    <n v="0"/>
    <s v="انتقال از کارت 6037701521452687 به کارت 5041721220251467 متعلق به ابوالفضل شريفي ميناب (ابوالفضل شريفي ميناب) از خودپرداز 77300015 - پذيرنده ص خشمان - بانک ملی - شماره مرجع 742533571800 شماره پيگيري 742580_سند تراکنش کارت"/>
    <m/>
    <s v="I12803219151"/>
    <s v="1-1403-10-IRR-8615815966"/>
    <s v="19:56:54"/>
    <s v="1403/09/11"/>
    <s v="ستاد"/>
    <n v="80"/>
  </r>
  <r>
    <x v="4"/>
    <n v="57051926"/>
    <n v="0"/>
    <n v="1998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98251098 شماره پيگيري 118991_سند تراکنش کارت"/>
    <m/>
    <s v="I12800279314"/>
    <s v="1-1403-10-IRR-8618090222"/>
    <s v="12:35:13"/>
    <s v="1403/09/11"/>
    <s v="ستاد"/>
    <n v="81"/>
  </r>
  <r>
    <x v="7"/>
    <n v="77031926"/>
    <n v="0"/>
    <n v="10000"/>
    <s v="برداشت از سپرده بابت کارمزد انتقال کارت به کارت و کارت به شبا(نامه 02.32780)_سند تراکنش کارت"/>
    <m/>
    <s v="I12800279314"/>
    <s v="1-1403-10-IRR-8618090222"/>
    <s v="12:35:13"/>
    <s v="1403/09/11"/>
    <s v="ستاد"/>
    <n v="82"/>
  </r>
  <r>
    <x v="15"/>
    <n v="77041926"/>
    <n v="0"/>
    <n v="350000"/>
    <s v="خريد کالا و خدمات با کارت 5041721220251467 متعلق به ابوالفضل شريفي ميناب (ابوالفضل شريفي ميناب) از پايانه فروش 71144022 - پذيرنده ابزار نادر - پرداخت الکترونیک پاسارگاد - شماره مرجع 142066527272 شماره پيگيري 11494_سند تراکنش کارت"/>
    <m/>
    <s v="I12795443660"/>
    <s v="1-1403-10-IRR-8600529488"/>
    <s v="17:06:18"/>
    <s v="1403/09/10"/>
    <s v="ستاد"/>
    <n v="83"/>
  </r>
  <r>
    <x v="1"/>
    <n v="77391926"/>
    <n v="0"/>
    <n v="360000"/>
    <s v="خريد کالا و خدمات با کارت 5041721220251467 متعلق به ابوالفضل شريفي ميناب (ابوالفضل شريفي ميناب) از پايانه فروش 70514289 - پذيرنده لوازم التحری ر آوا - پرداخت الکترونیک پاسارگاد - شماره مرجع 142057381309 شماره پيگيري 8627_سند تراکنش کارت"/>
    <m/>
    <s v="I12795318293"/>
    <s v="1-1403-10-IRR-8597530157"/>
    <s v="16:48:49"/>
    <s v="1403/09/10"/>
    <s v="ستاد"/>
    <n v="84"/>
  </r>
  <r>
    <x v="2"/>
    <n v="77751926"/>
    <n v="0"/>
    <n v="1800000"/>
    <s v="خريد کالا و خدمات با کارت 5041721220251467 متعلق به ابوالفضل شريفي ميناب (ابوالفضل شريفي ميناب) از پايانه فروش 12155557 - پذيرنده قنادی حافظ - پرداخت الکترونیک سامان - شماره مرجع 845995411190 شماره پيگيري 574646_سند تراکنش کارت"/>
    <m/>
    <s v="I12776841656"/>
    <s v="1-1403-10-IRR-8564203215"/>
    <s v="13:56:13"/>
    <s v="1403/09/07"/>
    <s v="ستاد"/>
    <n v="85"/>
  </r>
  <r>
    <x v="4"/>
    <n v="79551926"/>
    <n v="0"/>
    <n v="700000"/>
    <s v="انتقال از کارت 5041721220251467 متعلق به ابوالفضل شريفي ميناب (ابوالفضل شريفي ميناب) به کارت 6037991534119247 متعلق به محسن حبیبی از اينترنت 115 - پذيرنده سامانه پرداخت همراه بانک - بانک قرض الحسنه رسالت - شماره مرجع 89861842 شماره پيگيري 729625_سند تراکنش کارت"/>
    <m/>
    <s v="I12776832646"/>
    <s v="1-1403-10-IRR-8561305112"/>
    <s v="13:54:41"/>
    <s v="1403/09/07"/>
    <s v="ستاد"/>
    <n v="86"/>
  </r>
  <r>
    <x v="7"/>
    <n v="80251926"/>
    <n v="0"/>
    <n v="7200"/>
    <s v="برداشت از سپرده بابت کارمزد انتقال کارت به کارت و کارت به شبا(نامه 02.32780)_سند تراکنش کارت"/>
    <m/>
    <s v="I12776832646"/>
    <s v="1-1403-10-IRR-8561305112"/>
    <s v="13:54:41"/>
    <s v="1403/09/07"/>
    <s v="ستاد"/>
    <n v="87"/>
  </r>
  <r>
    <x v="4"/>
    <n v="80259126"/>
    <n v="0"/>
    <n v="2430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89563714 شماره پيگيري 431512_سند تراکنش کارت"/>
    <m/>
    <s v="I12775981489"/>
    <s v="1-1403-10-IRR-8561043972"/>
    <s v="11:56:02"/>
    <s v="1403/09/07"/>
    <s v="ستاد"/>
    <n v="88"/>
  </r>
  <r>
    <x v="7"/>
    <n v="104559126"/>
    <n v="0"/>
    <n v="12800"/>
    <s v="برداشت از سپرده بابت کارمزد انتقال کارت به کارت و کارت به شبا(نامه 02.32780)_سند تراکنش کارت"/>
    <m/>
    <s v="I12775981489"/>
    <s v="1-1403-10-IRR-8561043972"/>
    <s v="11:56:02"/>
    <s v="1403/09/07"/>
    <s v="ستاد"/>
    <n v="89"/>
  </r>
  <r>
    <x v="4"/>
    <n v="104571926"/>
    <n v="0"/>
    <n v="740000"/>
    <s v="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433211304835 شماره پيگيري 304835_سند تراکنش کارت"/>
    <m/>
    <s v="I12775645197"/>
    <s v="1-1403-10-IRR-8560951826"/>
    <s v="11:12:45"/>
    <s v="1403/09/07"/>
    <s v="ستاد"/>
    <n v="90"/>
  </r>
  <r>
    <x v="13"/>
    <n v="105311926"/>
    <n v="70100000"/>
    <n v="0"/>
    <s v="انتقال از کارت 5894631210414009 به کارت 5041721220251467 متعلق به ابوالفضل شريفي ميناب (ابوالفضل شريفي ميناب) از Pinpad 125999 - پذيرنده باجه خانقاه - پست بانک - شماره مرجع 130055753463 شماره پيگيري 753463_سند تراکنش کارت"/>
    <m/>
    <s v="I12770415750"/>
    <s v="1-1403-10-IRR-8552459025"/>
    <s v="13:58:46"/>
    <s v="1403/09/06"/>
    <s v="ستاد"/>
    <n v="91"/>
  </r>
  <r>
    <x v="20"/>
    <n v="35211926"/>
    <n v="0"/>
    <n v="11760000"/>
    <s v="خريد کالا و خدمات با کارت 5041721220251467 متعلق به ابوالفضل شريفي ميناب (ابوالفضل شريفي ميناب) از پايانه فروش 98879458 - پذيرنده پرداخت الکترونیک سپهر - مبنا کارت آریا (اینفوتک) - شماره مرجع 128139222734 شماره پيگيري 222734_سند تراکنش کارت"/>
    <m/>
    <s v="I12770355820"/>
    <s v="1-1403-10-IRR-8549413581"/>
    <s v="13:48:38"/>
    <s v="1403/09/06"/>
    <s v="ستاد"/>
    <n v="92"/>
  </r>
  <r>
    <x v="20"/>
    <n v="46971926"/>
    <n v="0"/>
    <n v="1162696"/>
    <s v="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054648597 شماره پيگيري 17534_سند تراکنش کارت"/>
    <m/>
    <s v="I12761614396"/>
    <s v="1-1403-10-IRR-8540228883"/>
    <s v="08:53:38"/>
    <s v="1403/09/05"/>
    <s v="ستاد"/>
    <n v="93"/>
  </r>
  <r>
    <x v="20"/>
    <n v="48134622"/>
    <n v="0"/>
    <n v="1180000"/>
    <s v="خريد کالا و خدمات با کارت 5041721220251467 متعلق به ابوالفضل شريفي ميناب (ابوالفضل شريفي ميناب) از پايانه فروش 13518438 - کارت اعتباری ایران کیش - شماره مرجع 184383276309 شماره پيگيري 11505_سند تراکنش کارت"/>
    <m/>
    <s v="I12749609013"/>
    <s v="1-1403-10-IRR-8513845342"/>
    <s v="13:06:38"/>
    <s v="1403/09/03"/>
    <s v="ستاد"/>
    <n v="94"/>
  </r>
  <r>
    <x v="21"/>
    <n v="49314622"/>
    <n v="0"/>
    <n v="43000000"/>
    <s v="انتقال از کارت 5041721220251467 متعلق به ابوالفضل شريفي ميناب (ابوالفضل شريفي ميناب) به کارت 6280231494746430 متعلق به ابراهیم جعفری از اينترنت 115 - پذيرنده سامانه پرداخت همراه بانک - بانک قرض الحسنه رسالت - شماره مرجع 79551411 شماره پيگيري 419071_سند تراکنش کارت"/>
    <m/>
    <s v="I12747934193"/>
    <s v="1-1403-10-IRR-8510427286"/>
    <s v="09:25:12"/>
    <s v="1403/09/03"/>
    <s v="ستاد"/>
    <n v="95"/>
  </r>
  <r>
    <x v="7"/>
    <n v="92314622"/>
    <n v="0"/>
    <n v="18400"/>
    <s v="برداشت از سپرده بابت کارمزد انتقال کارت به کارت و کارت به شبا(نامه 02.32780)_سند تراکنش کارت"/>
    <m/>
    <s v="I12747934193"/>
    <s v="1-1403-10-IRR-8510427286"/>
    <s v="09:25:12"/>
    <s v="1403/09/03"/>
    <s v="ستاد"/>
    <n v="96"/>
  </r>
  <r>
    <x v="20"/>
    <n v="92333022"/>
    <n v="0"/>
    <n v="1975976"/>
    <s v="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5028270908 شماره پيگيري 17477_سند تراکنش کارت"/>
    <m/>
    <s v="I12747853918"/>
    <s v="1-1403-10-IRR-8516412447"/>
    <s v="09:11:58"/>
    <s v="1403/09/03"/>
    <s v="ستاد"/>
    <n v="97"/>
  </r>
  <r>
    <x v="20"/>
    <n v="94308998"/>
    <n v="0"/>
    <n v="689000"/>
    <s v="خريد کالا و خدمات با کارت 5041721220251467 متعلق به ابوالفضل شريفي ميناب (ابوالفضل شريفي ميناب) از پايانه فروش 7181450 - پذيرنده پایانه به پرداخت ملت - به پرداخت ملت - شماره مرجع 291106607904 شماره پيگيري 607904_سند تراکنش کارت"/>
    <m/>
    <s v="I12735906956"/>
    <s v="1-1403-10-IRR-8492972161"/>
    <s v="11:00:13"/>
    <s v="1403/09/01"/>
    <s v="ستاد"/>
    <n v="98"/>
  </r>
  <r>
    <x v="13"/>
    <n v="94997998"/>
    <n v="8200000"/>
    <n v="0"/>
    <s v="انتقال از کارت 6037697705404223 به کارت 5041721220251467 متعلق به ابوالفضل شريفي ميناب (ابوالفضل شريفي ميناب) از اينترنت 6590002 - پذيرنده ص خشمان - بانک صادرات - شماره مرجع 220915214331 شماره پيگيري 124331_سند تراکنش کارت"/>
    <m/>
    <s v="I12735035307"/>
    <s v="1-1403-10-IRR-8492719847"/>
    <s v="09:15:22"/>
    <s v="1403/09/01"/>
    <s v="ستاد"/>
    <n v="99"/>
  </r>
  <r>
    <x v="13"/>
    <n v="86797998"/>
    <n v="12450000"/>
    <n v="0"/>
    <s v="انتقال از کارت 6037997261407614 به کارت 5041721220251467 متعلق به ابوالفضل شريفي ميناب (ابوالفضل شريفي ميناب) از اينترنت 17592030 - پذيرنده ص خشمان - بانک ملی - شماره مرجع 184795172311 شماره پيگيري 610603_سند تراکنش کارت"/>
    <m/>
    <s v="I12734076826"/>
    <s v="1-1403-10-IRR-8485675895"/>
    <s v="00:14:00"/>
    <s v="1403/09/01"/>
    <s v="ستاد"/>
    <n v="100"/>
  </r>
  <r>
    <x v="22"/>
    <n v="74347998"/>
    <n v="0"/>
    <n v="56500000"/>
    <s v="انتقال از کارت 5041721220251467 متعلق به ابوالفضل شريفي ميناب (ابوالفضل شريفي ميناب) به کارت 6037697402090572 متعلق به محمد یوزباشی از اينترنت 115 - پذيرنده سامانه پرداخت همراه بانک - بانک قرض الحسنه رسالت - شماره مرجع 73239212 شماره پيگيري 106808_سند تراکنش کارت"/>
    <m/>
    <s v="I12729903368"/>
    <s v="1-1403-10-IRR-8487631984"/>
    <s v="14:03:38"/>
    <s v="1403/08/30"/>
    <s v="ستاد"/>
    <n v="101"/>
  </r>
  <r>
    <x v="7"/>
    <n v="130847998"/>
    <n v="0"/>
    <n v="21200"/>
    <s v="برداشت از سپرده بابت کارمزد انتقال کارت به کارت و کارت به شبا(نامه 02.32780)_سند تراکنش کارت"/>
    <m/>
    <s v="I12729903368"/>
    <s v="1-1403-10-IRR-8487631984"/>
    <s v="14:03:38"/>
    <s v="1403/08/30"/>
    <s v="ستاد"/>
    <n v="102"/>
  </r>
  <r>
    <x v="23"/>
    <n v="130869198"/>
    <n v="0"/>
    <n v="20000000"/>
    <s v="انتقال از کارت 5041721220251467 متعلق به ابوالفضل شريفي ميناب (ابوالفضل شريفي ميناب) به کارت 6104337941141515 متعلق به  فردین  رضائی از اينترنت 115 - پذيرنده سامانه پرداخت همراه بانک - بانک قرض الحسنه رسالت - شماره مرجع 73235409 شماره پيگيري 103005_سند تراکنش کارت"/>
    <m/>
    <s v="I12729890608"/>
    <s v="1-1403-10-IRR-8484633001"/>
    <s v="14:01:34"/>
    <s v="1403/08/30"/>
    <s v="ستاد"/>
    <n v="103"/>
  </r>
  <r>
    <x v="7"/>
    <n v="150869198"/>
    <n v="0"/>
    <n v="10000"/>
    <s v="برداشت از سپرده بابت کارمزد انتقال کارت به کارت و کارت به شبا(نامه 02.32780)_سند تراکنش کارت"/>
    <m/>
    <s v="I12729890608"/>
    <s v="1-1403-10-IRR-8484633001"/>
    <s v="14:01:34"/>
    <s v="1403/08/30"/>
    <s v="ستاد"/>
    <n v="104"/>
  </r>
  <r>
    <x v="20"/>
    <n v="150879198"/>
    <n v="0"/>
    <n v="1580336"/>
    <s v="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4992460262 شماره پيگيري 17415_سند تراکنش کارت"/>
    <m/>
    <s v="I12727939505"/>
    <s v="1-1403-10-IRR-8487079088"/>
    <s v="09:51:16"/>
    <s v="1403/08/30"/>
    <s v="ستاد"/>
    <n v="105"/>
  </r>
  <r>
    <x v="20"/>
    <n v="152459534"/>
    <n v="0"/>
    <n v="5750000"/>
    <s v="خريد کالا و خدمات با کارت 5041721220251467 متعلق به ابوالفضل شريفي ميناب (ابوالفضل شريفي ميناب) از پايانه فروش 33642264 - پذيرنده Not - پرداخت الکترونیک سداد (2) - شماره مرجع 324981976696 شماره پيگيري 3164_سند تراکنش کارت"/>
    <m/>
    <s v="I12722073244"/>
    <s v="1-1403-10-IRR-8478735461"/>
    <s v="11:59:58"/>
    <s v="1403/08/29"/>
    <s v="ستاد"/>
    <n v="106"/>
  </r>
  <r>
    <x v="20"/>
    <n v="158209534"/>
    <n v="0"/>
    <n v="1100000"/>
    <s v="خريد کالا و خدمات با کارت 5041721220251467 متعلق به ابوالفضل شريفي ميناب (ابوالفضل شريفي ميناب) از پايانه فروش 33690414 - پذيرنده Not - پرداخت الکترونیک سداد (2) - شماره مرجع 324981320014 شماره پيگيري 3718_سند تراکنش کارت"/>
    <m/>
    <s v="I12721793279"/>
    <s v="1-1403-10-IRR-8475738469"/>
    <s v="11:21:46"/>
    <s v="1403/08/29"/>
    <s v="ستاد"/>
    <n v="107"/>
  </r>
  <r>
    <x v="5"/>
    <n v="159309534"/>
    <n v="0"/>
    <n v="781000"/>
    <s v="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290839225948 شماره پيگيري 225948_سند تراکنش کارت"/>
    <m/>
    <s v="I12716810162"/>
    <s v="1-1403-10-IRR-8467005240"/>
    <s v="14:17:16"/>
    <s v="1403/08/28"/>
    <s v="ستاد"/>
    <n v="108"/>
  </r>
  <r>
    <x v="4"/>
    <n v="160090534"/>
    <n v="0"/>
    <n v="20000000"/>
    <s v="انتقال از کارت 5041721220251467 متعلق به ابوالفضل شريفي ميناب (ابوالفضل شريفي ميناب) به کارت 5892101395528355 متعلق به زهرا علی پور از اينترنت 115 - پذيرنده سامانه پرداخت همراه بانک - بانک قرض الحسنه رسالت - شماره مرجع 68309360 شماره پيگيري 176902_سند تراکنش کارت"/>
    <m/>
    <s v="I12716013559"/>
    <s v="1-1403-10-IRR-8472839186"/>
    <s v="12:13:48"/>
    <s v="1403/08/28"/>
    <s v="ستاد"/>
    <n v="109"/>
  </r>
  <r>
    <x v="7"/>
    <n v="180090534"/>
    <n v="0"/>
    <n v="10000"/>
    <s v="برداشت از سپرده بابت کارمزد انتقال کارت به کارت و کارت به شبا(نامه 02.32780)_سند تراکنش کارت"/>
    <m/>
    <s v="I12716013559"/>
    <s v="1-1403-10-IRR-8472839186"/>
    <s v="12:13:48"/>
    <s v="1403/08/28"/>
    <s v="ستاد"/>
    <n v="110"/>
  </r>
  <r>
    <x v="4"/>
    <n v="180100534"/>
    <n v="0"/>
    <n v="1200000"/>
    <s v="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66612394 شماره پيگيري 479907_سند تراکنش کارت"/>
    <m/>
    <s v="I12711619559"/>
    <s v="1-1403-10-IRR-8464321364"/>
    <s v="17:29:04"/>
    <s v="1403/08/27"/>
    <s v="ستاد"/>
    <n v="111"/>
  </r>
  <r>
    <x v="7"/>
    <n v="181300534"/>
    <n v="0"/>
    <n v="7200"/>
    <s v="برداشت از سپرده بابت کارمزد انتقال کارت به کارت و کارت به شبا(نامه 02.32780)_سند تراکنش کارت"/>
    <m/>
    <s v="I12711619559"/>
    <s v="1-1403-10-IRR-8464321364"/>
    <s v="17:29:04"/>
    <s v="1403/08/27"/>
    <s v="ستاد"/>
    <n v="112"/>
  </r>
  <r>
    <x v="15"/>
    <n v="181307734"/>
    <n v="0"/>
    <n v="20880000"/>
    <s v="انتقال از کارت 5041721220251467 متعلق به ابوالفضل شريفي ميناب (ابوالفضل شريفي ميناب) به کارت 5892101486649722 متعلق به علی کریمی کشکولی از اينترنت 115 - پذيرنده سامانه پرداخت همراه بانک - بانک قرض الحسنه رسالت - شماره مرجع 66083715 شماره پيگيري 951215_سند تراکنش کارت"/>
    <m/>
    <s v="I12710199017"/>
    <s v="1-1403-10-IRR-8463939368"/>
    <s v="13:03:22"/>
    <s v="1403/08/27"/>
    <s v="ستاد"/>
    <n v="113"/>
  </r>
  <r>
    <x v="7"/>
    <n v="202187734"/>
    <n v="0"/>
    <n v="12800"/>
    <s v="برداشت از سپرده بابت کارمزد انتقال کارت به کارت و کارت به شبا(نامه 02.32780)_سند تراکنش کارت"/>
    <m/>
    <s v="I12710199017"/>
    <s v="1-1403-10-IRR-8463939368"/>
    <s v="13:03:22"/>
    <s v="1403/08/27"/>
    <s v="ستاد"/>
    <n v="114"/>
  </r>
  <r>
    <x v="1"/>
    <n v="202200534"/>
    <n v="0"/>
    <n v="4050000"/>
    <s v="خريد کالا و خدمات با کارت 5041721220251467 متعلق به ابوالفضل شريفي ميناب (ابوالفضل شريفي ميناب) از پايانه فروش 54338614 - پذيرنده ل ار پ لاست - تجارت الکترونیک پارسیان - شماره مرجع 807831241666 شماره پيگيري 218560_سند تراکنش کارت"/>
    <m/>
    <s v="I12709844272"/>
    <s v="1-1403-10-IRR-8457775010"/>
    <s v="12:13:22"/>
    <s v="1403/08/27"/>
    <s v="ستاد"/>
    <n v="115"/>
  </r>
  <r>
    <x v="13"/>
    <n v="206250534"/>
    <n v="80000000"/>
    <n v="0"/>
    <s v="انتقال از کارت 6104337683296758 به کارت 5041721220251467 متعلق به ابوالفضل شريفي ميناب (ابوالفضل شريفي ميناب) از اينترنت 200 - پذيرنده پایانه بانک ملت - بانک ملت - شماره مرجع 154880503561 شماره پيگيري 503561_سند تراکنش کارت"/>
    <m/>
    <s v="I12709706132"/>
    <s v="1-1403-10-IRR-8463795528"/>
    <s v="11:54:08"/>
    <s v="1403/08/27"/>
    <s v="ستاد"/>
    <n v="116"/>
  </r>
  <r>
    <x v="4"/>
    <n v="126250534"/>
    <n v="0"/>
    <n v="1700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65040190 شماره پيگيري 907684_سند تراکنش کارت"/>
    <m/>
    <s v="I12707312506"/>
    <s v="1-1403-10-IRR-8452693627"/>
    <s v="21:15:45"/>
    <s v="1403/08/26"/>
    <s v="ستاد"/>
    <n v="117"/>
  </r>
  <r>
    <x v="7"/>
    <n v="143250534"/>
    <n v="0"/>
    <n v="10000"/>
    <s v="برداشت از سپرده بابت کارمزد انتقال کارت به کارت و کارت به شبا(نامه 02.32780)_سند تراکنش کارت"/>
    <m/>
    <s v="I12707312506"/>
    <s v="1-1403-10-IRR-8452693627"/>
    <s v="21:15:45"/>
    <s v="1403/08/26"/>
    <s v="ستاد"/>
    <n v="118"/>
  </r>
  <r>
    <x v="1"/>
    <n v="143260534"/>
    <n v="0"/>
    <n v="300000"/>
    <s v="خريد کالا و خدمات با کارت 5041721220251467 متعلق به ابوالفضل شريفي ميناب (ابوالفضل شريفي ميناب) از پايانه فروش 33178456 - پذيرنده Not - پرداخت الکترونیک سداد (2) - شماره مرجع 324914778764 شماره پيگيري 18377_سند تراکنش کارت"/>
    <m/>
    <s v="I12689800804"/>
    <s v="1-1403-10-IRR-8424111067"/>
    <s v="18:28:07"/>
    <s v="1403/08/23"/>
    <s v="ستاد"/>
    <n v="119"/>
  </r>
  <r>
    <x v="24"/>
    <n v="143560534"/>
    <n v="0"/>
    <n v="67800000"/>
    <s v="انتقال از کارت 5041721220251467 متعلق به ابوالفضل شريفي ميناب (ابوالفضل شريفي ميناب) به کارت 6037691990206484 متعلق به سپاهان کیمیا بسپار از اينترنت 115 - پذيرنده سامانه پرداخت همراه بانک - بانک قرض الحسنه رسالت - شماره مرجع 58377152 شماره پيگيري 244565_سند تراکنش کارت"/>
    <m/>
    <s v="I12687718032"/>
    <s v="1-1403-10-IRR-8426535215"/>
    <s v="12:37:32"/>
    <s v="1403/08/23"/>
    <s v="ستاد"/>
    <n v="120"/>
  </r>
  <r>
    <x v="7"/>
    <n v="211360534"/>
    <n v="0"/>
    <n v="24000"/>
    <s v="برداشت از سپرده بابت کارمزد انتقال کارت به کارت و کارت به شبا(نامه 02.32780)_سند تراکنش کارت"/>
    <m/>
    <s v="I12687718032"/>
    <s v="1-1403-10-IRR-8426535215"/>
    <s v="12:37:32"/>
    <s v="1403/08/23"/>
    <s v="ستاد"/>
    <n v="121"/>
  </r>
  <r>
    <x v="1"/>
    <n v="211384534"/>
    <n v="0"/>
    <n v="1000000"/>
    <s v="خريد کالا و خدمات با کارت 5041721220251467 متعلق به ابوالفضل شريفي ميناب (ابوالفضل شريفي ميناب) از پايانه فروش 2392472 - پذيرنده خرازی ع سکری زاده - پرداخت الکترونیک پاسارگاد - شماره مرجع 141014670208 شماره پيگيري 25736_سند تراکنش کارت"/>
    <m/>
    <s v="I12686507178"/>
    <s v="1-1403-10-IRR-8423173517"/>
    <s v="09:38:37"/>
    <s v="1403/08/23"/>
    <s v="ستاد"/>
    <n v="122"/>
  </r>
  <r>
    <x v="25"/>
    <n v="212384534"/>
    <n v="0"/>
    <n v="22000000"/>
    <s v="انتقال از کارت 5041721220251467 متعلق به ابوالفضل شريفي ميناب (ابوالفضل شريفي ميناب) به کارت 6219861072152951 متعلق به مهدی شاملو از اينترنت 115 - پذيرنده سامانه پرداخت همراه بانک - بانک قرض الحسنه رسالت - شماره مرجع 56255945 شماره پيگيري 123342_سند تراکنش کارت"/>
    <m/>
    <s v="I12681699174"/>
    <s v="1-1403-10-IRR-8418118614"/>
    <s v="12:25:02"/>
    <s v="1403/08/22"/>
    <s v="ستاد"/>
    <n v="123"/>
  </r>
  <r>
    <x v="7"/>
    <n v="234384534"/>
    <n v="0"/>
    <n v="12800"/>
    <s v="برداشت از سپرده بابت کارمزد انتقال کارت به کارت و کارت به شبا(نامه 02.32780)_سند تراکنش کارت"/>
    <m/>
    <s v="I12681699174"/>
    <s v="1-1403-10-IRR-8418118614"/>
    <s v="12:25:02"/>
    <s v="1403/08/22"/>
    <s v="ستاد"/>
    <n v="124"/>
  </r>
  <r>
    <x v="26"/>
    <n v="234397334"/>
    <n v="0"/>
    <n v="30960000"/>
    <s v="انتقال از کارت 5041721220251467 متعلق به ابوالفضل شريفي ميناب (ابوالفضل شريفي ميناب) به کارت 6219861069546801 متعلق به پیمان زینال پور از اينترنت 115 - پذيرنده سامانه پرداخت همراه بانک - بانک قرض الحسنه رسالت - شماره مرجع 56166790 شماره پيگيري 34188_سند تراکنش کارت"/>
    <m/>
    <s v="I12681424808"/>
    <s v="1-1403-10-IRR-8411983523"/>
    <s v="11:46:06"/>
    <s v="1403/08/22"/>
    <s v="ستاد"/>
    <n v="125"/>
  </r>
  <r>
    <x v="7"/>
    <n v="265357334"/>
    <n v="0"/>
    <n v="15600"/>
    <s v="برداشت از سپرده بابت کارمزد انتقال کارت به کارت و کارت به شبا(نامه 02.32780)_سند تراکنش کارت"/>
    <m/>
    <s v="I12681424808"/>
    <s v="1-1403-10-IRR-8411983523"/>
    <s v="11:46:06"/>
    <s v="1403/08/22"/>
    <s v="ستاد"/>
    <n v="126"/>
  </r>
  <r>
    <x v="8"/>
    <n v="265372934"/>
    <n v="0"/>
    <n v="5670000"/>
    <s v="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56159820 شماره پيگيري 27214_سند تراکنش کارت"/>
    <m/>
    <s v="I12681401534"/>
    <s v="1-1403-10-IRR-8418039244"/>
    <s v="11:42:46"/>
    <s v="1403/08/22"/>
    <s v="ستاد"/>
    <n v="127"/>
  </r>
  <r>
    <x v="7"/>
    <n v="271042934"/>
    <n v="0"/>
    <n v="7200"/>
    <s v="برداشت از سپرده بابت کارمزد انتقال کارت به کارت و کارت به شبا(نامه 02.32780)_سند تراکنش کارت"/>
    <m/>
    <s v="I12681401534"/>
    <s v="1-1403-10-IRR-8418039244"/>
    <s v="11:42:46"/>
    <s v="1403/08/22"/>
    <s v="ستاد"/>
    <n v="128"/>
  </r>
  <r>
    <x v="8"/>
    <n v="271050134"/>
    <n v="0"/>
    <n v="630000"/>
    <s v="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55996203 شماره پيگيري 863580_سند تراکنش کارت"/>
    <m/>
    <s v="I12680935721"/>
    <s v="1-1403-10-IRR-8417879098"/>
    <s v="10:34:55"/>
    <s v="1403/08/22"/>
    <s v="ستاد"/>
    <n v="129"/>
  </r>
  <r>
    <x v="7"/>
    <n v="271680134"/>
    <n v="0"/>
    <n v="7200"/>
    <s v="برداشت از سپرده بابت کارمزد انتقال کارت به کارت و کارت به شبا(نامه 02.32780)_سند تراکنش کارت"/>
    <m/>
    <s v="I12680935721"/>
    <s v="1-1403-10-IRR-8417879098"/>
    <s v="10:34:55"/>
    <s v="1403/08/22"/>
    <s v="ستاد"/>
    <n v="130"/>
  </r>
  <r>
    <x v="5"/>
    <n v="271687334"/>
    <n v="0"/>
    <n v="200000"/>
    <s v="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54400331 شماره پيگيري 267690_سند تراکنش کارت"/>
    <m/>
    <s v="I12676383076"/>
    <s v="1-1403-10-IRR-8406777244"/>
    <s v="14:12:11"/>
    <s v="1403/08/21"/>
    <s v="ستاد"/>
    <n v="131"/>
  </r>
  <r>
    <x v="2"/>
    <n v="271887334"/>
    <n v="0"/>
    <n v="500000"/>
    <s v="خريد کالا و خدمات با کارت 5041721220251467 متعلق به ابوالفضل شريفي ميناب (ابوالفضل شريفي ميناب) از پايانه فروش 41566207 - پذيرنده چاپ پاسارگاد - سایان کارت - شماره مرجع 091318346887 شماره پيگيري 346887_سند تراکنش کارت"/>
    <m/>
    <s v="I12676041457"/>
    <s v="1-1403-10-IRR-8409705180"/>
    <s v="13:11:51"/>
    <s v="1403/08/21"/>
    <s v="ستاد"/>
    <n v="132"/>
  </r>
  <r>
    <x v="1"/>
    <n v="272387334"/>
    <n v="0"/>
    <n v="740000"/>
    <s v="خريد کالا و خدمات با کارت 5041721220251467 متعلق به ابوالفضل شريفي ميناب (ابوالفضل شريفي ميناب) از پايانه فروش 70548465 - پذيرنده اوس مع مار - پرداخت الکترونیک پاسارگاد - شماره مرجع 142053157178 شماره پيگيري 2597_سند تراکنش کارت"/>
    <m/>
    <s v="I12675926730"/>
    <s v="1-1403-10-IRR-8403689113"/>
    <s v="12:54:45"/>
    <s v="1403/08/21"/>
    <s v="ستاد"/>
    <n v="133"/>
  </r>
  <r>
    <x v="27"/>
    <n v="273127334"/>
    <n v="0"/>
    <n v="100000000"/>
    <s v="ثبت پایا با شماره پیگیری 140308210702955630 به مقصد بانک آينده و شبای IR750620000000203104479006 و ذینفع سهیلا سلحشور- انتقالی_ثبت پایا در شعبه بانکداري مدرن 1"/>
    <m/>
    <s v="1731323593756_99990003"/>
    <s v="1-1403-10-IRR-8409481512"/>
    <s v="11:13:14"/>
    <s v="1403/08/21"/>
    <s v="ستاد"/>
    <n v="134"/>
  </r>
  <r>
    <x v="7"/>
    <n v="373127334"/>
    <n v="0"/>
    <n v="10000"/>
    <s v="دریافت کارمزد ثبت پایا با شماره پیگیری 140308210702955630 _انتقالی _دریافت کارمزد ثبت پایا"/>
    <m/>
    <s v="1731323593756_99990003"/>
    <s v="1-1403-10-IRR-8409481512"/>
    <s v="11:13:14"/>
    <s v="1403/08/21"/>
    <s v="ستاد"/>
    <n v="135"/>
  </r>
  <r>
    <x v="22"/>
    <n v="373137334"/>
    <n v="0"/>
    <n v="96000000"/>
    <s v="انتقال از کارت 5041721220251467 متعلق به ابوالفضل شريفي ميناب (ابوالفضل شريفي ميناب) به کارت 6037697402090572 متعلق به محمد یوزباشی از اينترنت 115 - پذيرنده سامانه پرداخت همراه بانک - بانک قرض الحسنه رسالت - شماره مرجع 53312414 شماره پيگيري 179773_سند تراکنش کارت"/>
    <m/>
    <s v="I12673417657"/>
    <s v="1-1403-10-IRR-8395703217"/>
    <s v="22:30:03"/>
    <s v="1403/08/20"/>
    <s v="ستاد"/>
    <n v="136"/>
  </r>
  <r>
    <x v="7"/>
    <n v="469137334"/>
    <n v="0"/>
    <n v="32400"/>
    <s v="برداشت از سپرده بابت کارمزد انتقال کارت به کارت و کارت به شبا(نامه 02.32780)_سند تراکنش کارت"/>
    <m/>
    <s v="I12673417657"/>
    <s v="1-1403-10-IRR-8395703217"/>
    <s v="22:30:03"/>
    <s v="1403/08/20"/>
    <s v="ستاد"/>
    <n v="137"/>
  </r>
  <r>
    <x v="22"/>
    <n v="469169734"/>
    <n v="0"/>
    <n v="100000000"/>
    <s v="انتقال از کارت 5041721220251467 متعلق به ابوالفضل شريفي ميناب (ابوالفضل شريفي ميناب) به کارت 6037697402090572 متعلق به محمد یوزباشی از اينترنت 115 - پذيرنده سامانه پرداخت همراه بانک - بانک قرض الحسنه رسالت - شماره مرجع 50548755 شماره پيگيري 416084_سند تراکنش کارت"/>
    <m/>
    <s v="I12665591911"/>
    <s v="1-1403-10-IRR-8392196665"/>
    <s v="18:28:43"/>
    <s v="1403/08/19"/>
    <s v="ستاد"/>
    <n v="138"/>
  </r>
  <r>
    <x v="7"/>
    <n v="569169734"/>
    <n v="0"/>
    <n v="32400"/>
    <s v="برداشت از سپرده بابت کارمزد انتقال کارت به کارت و کارت به شبا(نامه 02.32780)_سند تراکنش کارت"/>
    <m/>
    <s v="I12665591911"/>
    <s v="1-1403-10-IRR-8392196665"/>
    <s v="18:28:43"/>
    <s v="1403/08/19"/>
    <s v="ستاد"/>
    <n v="139"/>
  </r>
  <r>
    <x v="13"/>
    <n v="569202134"/>
    <n v="27000000"/>
    <n v="0"/>
    <s v="انتقال وجه از سپرده 10.3588765.1 -  توسط  سيداحمد حسيني_سامانه همراه بانک"/>
    <m/>
    <s v="1"/>
    <s v="1-1403-10-IRR-8391227436"/>
    <s v="09:46:43"/>
    <s v="1403/08/19"/>
    <s v="ستاد"/>
    <n v="140"/>
  </r>
  <r>
    <x v="4"/>
    <n v="542202134"/>
    <n v="0"/>
    <n v="7000000"/>
    <s v="خريد کالا و خدمات با کارت 5041721220251467 متعلق به ابوالفضل شريفي ميناب (ابوالفضل شريفي ميناب) از پايانه فروش 97800509 - پذيرنده تیپاکس - تجارت الکترونیک پارسیان - شماره مرجع 744843119971 شماره پيگيري 574972_سند تراکنش کارت"/>
    <m/>
    <s v="I12661993628"/>
    <s v="1-1403-10-IRR-8385088994"/>
    <s v="08:57:39"/>
    <s v="1403/08/19"/>
    <s v="ستاد"/>
    <n v="141"/>
  </r>
  <r>
    <x v="28"/>
    <n v="549202134"/>
    <n v="0"/>
    <n v="12000000"/>
    <s v="انتقال از کارت 5041721220251467 متعلق به ابوالفضل شريفي ميناب (ابوالفضل شريفي ميناب) به کارت 6037998128066221 متعلق به مجید خواجوندسریوی از اينترنت 115 - پذيرنده سامانه پرداخت همراه بانک - بانک قرض الحسنه رسالت - شماره مرجع 46056813 شماره پيگيري 924088_سند تراکنش کارت"/>
    <m/>
    <s v="I12652915304"/>
    <s v="1-1403-10-IRR-8370645781"/>
    <s v="12:24:32"/>
    <s v="1403/08/17"/>
    <s v="ستاد"/>
    <n v="142"/>
  </r>
  <r>
    <x v="7"/>
    <n v="561202134"/>
    <n v="0"/>
    <n v="10000"/>
    <s v="برداشت از سپرده بابت کارمزد انتقال کارت به کارت و کارت به شبا(نامه 02.32780)_سند تراکنش کارت"/>
    <m/>
    <s v="I12652915304"/>
    <s v="1-1403-10-IRR-8370645781"/>
    <s v="12:24:32"/>
    <s v="1403/08/17"/>
    <s v="ستاد"/>
    <n v="143"/>
  </r>
  <r>
    <x v="13"/>
    <n v="561212134"/>
    <n v="100000000"/>
    <n v="0"/>
    <s v="انتقال از کارت 6037691674426952 به کارت 5041721220251467 متعلق به ابوالفضل شريفي ميناب (ابوالفضل شريفي ميناب) از کيوسک داراي کارتخوان 12125 - پذيرنده کیوسک ستاره شهر بندرعب - بانک دی - شماره مرجع 130053115170 شماره پيگيري 115170_سند تراکنش کارت"/>
    <m/>
    <s v="I12651744945"/>
    <s v="1-1403-10-IRR-8364327424"/>
    <s v="09:50:25"/>
    <s v="1403/08/17"/>
    <s v="ستاد"/>
    <n v="144"/>
  </r>
  <r>
    <x v="4"/>
    <n v="461212134"/>
    <n v="0"/>
    <n v="1200000"/>
    <s v="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45270320 شماره پيگيري 137590_سند تراکنش کارت"/>
    <m/>
    <s v="I12650687545"/>
    <s v="1-1403-10-IRR-8362708750"/>
    <s v="23:01:02"/>
    <s v="1403/08/16"/>
    <s v="ستاد"/>
    <n v="145"/>
  </r>
  <r>
    <x v="7"/>
    <n v="462412134"/>
    <n v="0"/>
    <n v="7200"/>
    <s v="برداشت از سپرده بابت کارمزد انتقال کارت به کارت و کارت به شبا(نامه 02.32780)_سند تراکنش کارت"/>
    <m/>
    <s v="I12650687545"/>
    <s v="1-1403-10-IRR-8362708750"/>
    <s v="23:01:02"/>
    <s v="1403/08/16"/>
    <s v="ستاد"/>
    <n v="146"/>
  </r>
  <r>
    <x v="13"/>
    <n v="462419334"/>
    <n v="100000000"/>
    <n v="0"/>
    <s v="انتقال از کارت 6037701526391047 به کارت 5041721220251467 متعلق به ابوالفضل شريفي ميناب (ابوالفضل شريفي ميناب) از کيوسک داراي کارتخوان 20011085 - پذيرنده پایانه بانک ملت - بانک ملت - شماره مرجع 154477928231 شماره پيگيري 928231_سند تراکنش کارت"/>
    <m/>
    <s v="I12649186803"/>
    <s v="1-1403-10-IRR-8362298995"/>
    <s v="18:46:45"/>
    <s v="1403/08/16"/>
    <s v="ستاد"/>
    <n v="147"/>
  </r>
  <r>
    <x v="2"/>
    <n v="362419334"/>
    <n v="0"/>
    <n v="1279000"/>
    <s v="خريد کالا و خدمات با کارت 5041721220251467 متعلق به ابوالفضل شريفي ميناب (ابوالفضل شريفي ميناب) از پايانه فروش 7181450 - پذيرنده پایانه به پرداخت ملت - به پرداخت ملت - شماره مرجع 289752766403 شماره پيگيري 766403_سند تراکنش کارت"/>
    <m/>
    <s v="I12645617639"/>
    <s v="1-1403-10-IRR-8361284815"/>
    <s v="09:33:44"/>
    <s v="1403/08/16"/>
    <s v="ستاد"/>
    <n v="148"/>
  </r>
  <r>
    <x v="1"/>
    <n v="363698334"/>
    <n v="0"/>
    <n v="550000"/>
    <s v="خريد کالا و خدمات با کارت 5041721220251467 متعلق به ابوالفضل شريفي ميناب (ابوالفضل شريفي ميناب) از پايانه فروش 80905663 - پذيرنده لوازم التحرر آوا - پرداخت الکترونیک پاسارگاد - شماره مرجع 142331224442 شماره پيگيري 7702_سند تراکنش کارت"/>
    <m/>
    <s v="I12645591253"/>
    <s v="1-1403-10-IRR-8361275327"/>
    <s v="09:28:56"/>
    <s v="1403/08/16"/>
    <s v="ستاد"/>
    <n v="149"/>
  </r>
  <r>
    <x v="13"/>
    <n v="364248334"/>
    <n v="100000000"/>
    <n v="0"/>
    <s v="انتقال از کارت 6037701577619809 به کارت 5041721220251467 متعلق به ابوالفضل شريفي ميناب (ابوالفضل شريفي ميناب) از اينترنت 7770001 - پذيرنده ص خشمان - بانک کشاورزی - شماره مرجع 110400071403 شماره پيگيري 71403_سند تراکنش کارت"/>
    <m/>
    <s v="I12632260522"/>
    <s v="1-1403-10-IRR-8335649457"/>
    <s v="00:03:40"/>
    <s v="1403/08/14"/>
    <s v="ستاد"/>
    <n v="150"/>
  </r>
  <r>
    <x v="4"/>
    <n v="264248334"/>
    <n v="0"/>
    <n v="1714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8392138 شماره پيگيري 259327_سند تراکنش کارت"/>
    <m/>
    <s v="I12631322504"/>
    <s v="1-1403-10-IRR-8329545176"/>
    <s v="20:25:20"/>
    <s v="1403/08/13"/>
    <s v="ستاد"/>
    <n v="151"/>
  </r>
  <r>
    <x v="7"/>
    <n v="265962334"/>
    <n v="0"/>
    <n v="7200"/>
    <s v="برداشت از سپرده بابت کارمزد انتقال کارت به کارت و کارت به شبا(نامه 02.32780)_سند تراکنش کارت"/>
    <m/>
    <s v="I12631322504"/>
    <s v="1-1403-10-IRR-8329545176"/>
    <s v="20:25:20"/>
    <s v="1403/08/13"/>
    <s v="ستاد"/>
    <n v="152"/>
  </r>
  <r>
    <x v="2"/>
    <n v="265969534"/>
    <n v="0"/>
    <n v="47850"/>
    <s v="خريد کالا و خدمات با کارت 5041721220251467 متعلق به ابوالفضل شريفي ميناب (ابوالفضل شريفي ميناب) از پايانه فروش 5189437 - کارت اعتباری ایران کیش - شماره مرجع 894373077832 شماره پيگيري 12036_سند تراکنش کارت"/>
    <m/>
    <s v="I12630691554"/>
    <s v="1-1403-10-IRR-8329366089"/>
    <s v="19:06:45"/>
    <s v="1403/08/13"/>
    <s v="ستاد"/>
    <n v="153"/>
  </r>
  <r>
    <x v="15"/>
    <n v="266017384"/>
    <n v="0"/>
    <n v="8800000"/>
    <s v="انتقال از کارت 5041721220251467 متعلق به ابوالفضل شريفي ميناب (ابوالفضل شريفي ميناب) به کارت 6037998203718308 متعلق به محمد جواهر از اينترنت 115 - پذيرنده سامانه پرداخت همراه بانک - بانک قرض الحسنه رسالت - شماره مرجع 38054327 شماره پيگيري 921502_سند تراکنش کارت"/>
    <m/>
    <s v="I12630230411"/>
    <s v="1-1403-10-IRR-8329220370"/>
    <s v="18:13:28"/>
    <s v="1403/08/13"/>
    <s v="ستاد"/>
    <n v="154"/>
  </r>
  <r>
    <x v="7"/>
    <n v="274817384"/>
    <n v="0"/>
    <n v="7200"/>
    <s v="برداشت از سپرده بابت کارمزد انتقال کارت به کارت و کارت به شبا(نامه 02.32780)_سند تراکنش کارت"/>
    <m/>
    <s v="I12630230411"/>
    <s v="1-1403-10-IRR-8329220370"/>
    <s v="18:13:28"/>
    <s v="1403/08/13"/>
    <s v="ستاد"/>
    <n v="155"/>
  </r>
  <r>
    <x v="2"/>
    <n v="274824584"/>
    <n v="0"/>
    <n v="2859000"/>
    <s v="خريد کالا و خدمات با کارت 5041721220251467 متعلق به ابوالفضل شريفي ميناب (ابوالفضل شريفي ميناب) از پايانه فروش 7283681 - پذيرنده پایانه به پرداخت ملت - به پرداخت ملت - شماره مرجع 289512898087 شماره پيگيري 898087_سند تراکنش کارت"/>
    <m/>
    <s v="I12630130317"/>
    <s v="1-1403-10-IRR-8332191694"/>
    <s v="18:01:39"/>
    <s v="1403/08/13"/>
    <s v="ستاد"/>
    <n v="156"/>
  </r>
  <r>
    <x v="2"/>
    <n v="277683584"/>
    <n v="0"/>
    <n v="1000000"/>
    <s v="خريد کالا و خدمات با کارت 5041721220251467 متعلق به ابوالفضل شريفي ميناب (ابوالفضل شريفي ميناب) از پايانه فروش 2392472 - پذيرنده خرازی ع سکری زاده - پرداخت الکترونیک پاسارگاد - شماره مرجع 141018227964 شماره پيگيري 25548_سند تراکنش کارت"/>
    <m/>
    <s v="I12629873424"/>
    <s v="1-1403-10-IRR-8332121386"/>
    <s v="17:30:02"/>
    <s v="1403/08/13"/>
    <s v="ستاد"/>
    <n v="157"/>
  </r>
  <r>
    <x v="15"/>
    <n v="278683584"/>
    <n v="0"/>
    <n v="7900000"/>
    <s v="خريد کالا و خدمات با کارت 5041721220251467 متعلق به ابوالفضل شريفي ميناب (ابوالفضل شريفي ميناب) از پايانه فروش 13523412 - پذيرنده کالای برق قدسی - پرداخت الکترونیک سامان - شماره مرجع 845316704015 شماره پيگيري 472471_سند تراکنش کارت"/>
    <m/>
    <s v="I12629804608"/>
    <s v="1-1403-10-IRR-8332105604"/>
    <s v="17:21:15"/>
    <s v="1403/08/13"/>
    <s v="ستاد"/>
    <n v="158"/>
  </r>
  <r>
    <x v="5"/>
    <n v="286583584"/>
    <n v="0"/>
    <n v="440000"/>
    <s v="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289487760651 شماره پيگيري 760651_سند تراکنش کارت"/>
    <m/>
    <s v="I12628612336"/>
    <s v="1-1403-10-IRR-8328825171"/>
    <s v="13:36:22"/>
    <s v="1403/08/13"/>
    <s v="ستاد"/>
    <n v="159"/>
  </r>
  <r>
    <x v="1"/>
    <n v="287023584"/>
    <n v="0"/>
    <n v="700000"/>
    <s v="انتقال از کارت 5041721220251467 متعلق به ابوالفضل شريفي ميناب (ابوالفضل شريفي ميناب) به کارت 6037691662111103 متعلق به نصراله قادری از اينترنت 115 - پذيرنده سامانه پرداخت همراه بانک - بانک قرض الحسنه رسالت - شماره مرجع 37389336 شماره پيگيري 256500_سند تراکنش کارت"/>
    <m/>
    <s v="I12628331075"/>
    <s v="1-1403-10-IRR-8331715658"/>
    <s v="12:54:31"/>
    <s v="1403/08/13"/>
    <s v="ستاد"/>
    <n v="160"/>
  </r>
  <r>
    <x v="7"/>
    <n v="287723584"/>
    <n v="0"/>
    <n v="7200"/>
    <s v="برداشت از سپرده بابت کارمزد انتقال کارت به کارت و کارت به شبا(نامه 02.32780)_سند تراکنش کارت"/>
    <m/>
    <s v="I12628331075"/>
    <s v="1-1403-10-IRR-8331715658"/>
    <s v="12:54:30"/>
    <s v="1403/08/13"/>
    <s v="ستاد"/>
    <n v="161"/>
  </r>
  <r>
    <x v="13"/>
    <n v="287730784"/>
    <n v="40000000"/>
    <n v="0"/>
    <s v="انتقال از کارت 5894631144689270 به کارت 5041721220251467 متعلق به ابوالفضل شريفي ميناب (ابوالفضل شريفي ميناب) از خودپرداز 9750002 - پذيرنده بانک رفاه - بانک رفاه کارگران - شماره مرجع 430841055572 شماره پيگيري 55572_سند تراکنش کارت"/>
    <m/>
    <s v="I12627207560"/>
    <s v="1-1403-10-IRR-8331381048"/>
    <s v="10:26:23"/>
    <s v="1403/08/13"/>
    <s v="ستاد"/>
    <n v="162"/>
  </r>
  <r>
    <x v="13"/>
    <n v="247730784"/>
    <n v="100000000"/>
    <n v="0"/>
    <s v="انتقال از کارت 5894631563346329 به کارت 5041721220251467 متعلق به ابوالفضل شريفي ميناب (ابوالفضل شريفي ميناب) از کيوسک داراي کارتخوان 1207550 - پذيرنده خنج - بانک رفاه کارگران - شماره مرجع 430803096626 شماره پيگيري 941247_سند تراکنش کارت"/>
    <m/>
    <s v="I12626892410"/>
    <s v="1-1403-10-IRR-8334270767"/>
    <s v="09:37:04"/>
    <s v="1403/08/13"/>
    <s v="ستاد"/>
    <n v="163"/>
  </r>
  <r>
    <x v="13"/>
    <n v="147730784"/>
    <n v="100000000"/>
    <n v="0"/>
    <s v="انتقال از کارت 6037701577619809 به کارت 5041721220251467 متعلق به ابوالفضل شريفي ميناب (ابوالفضل شريفي ميناب) از خودپرداز 4128101 - پذيرنده بانک مسک ن - بانک مسکن - شماره مرجع 430721544314 شماره پيگيري 544314_سند تراکنش کارت"/>
    <m/>
    <s v="I12625261709"/>
    <s v="1-1403-10-IRR-8326439746"/>
    <s v="21:05:58"/>
    <s v="1403/08/12"/>
    <s v="ستاد"/>
    <n v="164"/>
  </r>
  <r>
    <x v="4"/>
    <n v="47730784"/>
    <n v="0"/>
    <n v="4900000"/>
    <s v="خريد کالا و خدمات با کارت 5041721220251467 متعلق به ابوالفضل شريفي ميناب (ابوالفضل شريفي ميناب) از پايانه فروش 11897604 - پذيرنده پایانه شماره 40679811 - پرداخت نوین آرین - شماره مرجع 802257806152 شماره پيگيري 121153_سند تراکنش کارت"/>
    <m/>
    <s v="I12621983843"/>
    <s v="1-1403-10-IRR-8322637412"/>
    <s v="13:03:47"/>
    <s v="1403/08/12"/>
    <s v="ستاد"/>
    <n v="165"/>
  </r>
  <r>
    <x v="4"/>
    <n v="52630784"/>
    <n v="0"/>
    <n v="2950456"/>
    <s v="خريد کالا و خدمات با کارت 5041721220251467 متعلق به ابوالفضل شريفي ميناب (ابوالفضل شريفي ميناب) از پايانه فروش 97800509 - پذيرنده تیپاکس - تجارت الکترونیک پارسیان - شماره مرجع 744775863753 شماره پيگيري 838754_سند تراکنش کارت"/>
    <m/>
    <s v="I12620310628"/>
    <s v="1-1403-10-IRR-8325172549"/>
    <s v="09:03:23"/>
    <s v="1403/08/12"/>
    <s v="ستاد"/>
    <n v="166"/>
  </r>
  <r>
    <x v="13"/>
    <n v="55581240"/>
    <n v="50000000"/>
    <n v="0"/>
    <s v="انتقال از کارت 6037997197758080 به کارت 5041721220251467 متعلق به ابوالفضل شريفي ميناب (ابوالفضل شريفي ميناب) از خودپرداز 76490001 - پذيرنده ص خشمان - بانک ملی - شماره مرجع 327530544900 شماره پيگيري 327536_سند تراکنش کارت"/>
    <m/>
    <s v="I12616268947"/>
    <s v="1-1403-10-IRR-8314316334"/>
    <s v="12:28:25"/>
    <s v="1403/08/11"/>
    <s v="ستاد"/>
    <n v="167"/>
  </r>
  <r>
    <x v="29"/>
    <n v="5581240"/>
    <n v="1287000"/>
    <n v="0"/>
    <s v="انتقال از کارت 5041721204797626 متعلق به زهرا عبدي (زهرا عبدي) به کارت 5041721220251467 متعلق به ابوالفضل شريفي ميناب (ابوالفضل شريفي ميناب) از خودپرداز 41474 - پذيرنده بانک رفاه - بانک رفاه کارگران - شماره مرجع 430644833883 شماره پيگيري 833883_سند تراکنش کارت"/>
    <m/>
    <s v="I12615874839"/>
    <s v="1-1403-10-IRR-8314227107"/>
    <s v="11:12:37"/>
    <s v="1403/08/11"/>
    <s v="ستاد"/>
    <n v="168"/>
  </r>
  <r>
    <x v="2"/>
    <n v="4294240"/>
    <n v="0"/>
    <n v="3250000"/>
    <s v="خريد کالا و خدمات با کارت 5041721220251467 متعلق به ابوالفضل شريفي ميناب (ابوالفضل شريفي ميناب) از پايانه فروش 98822144 - پذيرنده پرداخت الکترونیک سپهر - مبنا کارت آریا (اینفوتک) - شماره مرجع 128012292360 شماره پيگيري 292360_سند تراکنش کارت"/>
    <m/>
    <s v="I12606622756"/>
    <s v="1-1403-10-IRR-8291298941"/>
    <s v="18:13:20"/>
    <s v="1403/08/09"/>
    <s v="ستاد"/>
    <n v="169"/>
  </r>
  <r>
    <x v="30"/>
    <n v="7544240"/>
    <n v="0"/>
    <n v="47000000"/>
    <s v="انتقال از کارت 5041721220251467 متعلق به ابوالفضل شريفي ميناب (ابوالفضل شريفي ميناب) به کارت 6037998128066221 متعلق به مجید خواجوندسریوی از اينترنت 115 - پذيرنده سامانه پرداخت همراه بانک - بانک قرض الحسنه رسالت - شماره مرجع 29816738 شماره پيگيري 683810_سند تراکنش کارت"/>
    <m/>
    <s v="I12606220229"/>
    <s v="1-1403-10-IRR-8291201095"/>
    <s v="17:23:18"/>
    <s v="1403/08/09"/>
    <s v="ستاد"/>
    <n v="170"/>
  </r>
  <r>
    <x v="7"/>
    <n v="54544240"/>
    <n v="0"/>
    <n v="18400"/>
    <s v="برداشت از سپرده بابت کارمزد انتقال کارت به کارت و کارت به شبا(نامه 02.32780)_سند تراکنش کارت"/>
    <m/>
    <s v="I12606220229"/>
    <s v="1-1403-10-IRR-8291201095"/>
    <s v="17:23:18"/>
    <s v="1403/08/09"/>
    <s v="ستاد"/>
    <n v="171"/>
  </r>
  <r>
    <x v="31"/>
    <n v="54562640"/>
    <n v="0"/>
    <n v="26726200"/>
    <s v="خريد کالا و خدمات با کارت 5041721220251467 متعلق به ابوالفضل شريفي ميناب (ابوالفضل شريفي ميناب) از اينترنت 98435697 - پذيرنده پرداخت الکترونیک سپهر - مبنا کارت آریا (اینفوتک) - شماره مرجع 128011063443 شماره پيگيري 63443_سند تراکنش کارت"/>
    <m/>
    <s v="I12605220371"/>
    <s v="1-1403-10-IRR-8293960399"/>
    <s v="14:17:54"/>
    <s v="1403/08/09"/>
    <s v="ستاد"/>
    <n v="172"/>
  </r>
  <r>
    <x v="19"/>
    <n v="81288840"/>
    <n v="0"/>
    <n v="23500000"/>
    <s v="انتقال از کارت 5041721220251467 متعلق به ابوالفضل شريفي ميناب (ابوالفضل شريفي ميناب) به کارت 6063731025135592 متعلق به ایمان یوسفی از اينترنت 115 - پذيرنده سامانه پرداخت همراه بانک - بانک قرض الحسنه رسالت - شماره مرجع 29439894 شماره پيگيري 306971_سند تراکنش کارت"/>
    <m/>
    <s v="I12605188952"/>
    <s v="1-1403-10-IRR-8290953472"/>
    <s v="14:11:55"/>
    <s v="1403/08/09"/>
    <s v="ستاد"/>
    <n v="173"/>
  </r>
  <r>
    <x v="7"/>
    <n v="104788840"/>
    <n v="0"/>
    <n v="12800"/>
    <s v="برداشت از سپرده بابت کارمزد انتقال کارت به کارت و کارت به شبا(نامه 02.32780)_سند تراکنش کارت"/>
    <m/>
    <s v="I12605188952"/>
    <s v="1-1403-10-IRR-8290953472"/>
    <s v="14:11:55"/>
    <s v="1403/08/09"/>
    <s v="ستاد"/>
    <n v="174"/>
  </r>
  <r>
    <x v="4"/>
    <n v="104801640"/>
    <n v="0"/>
    <n v="1200000"/>
    <s v="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28983725 شماره پيگيري 850790_سند تراکنش کارت"/>
    <m/>
    <s v="I12603851729"/>
    <s v="1-1403-10-IRR-8293583630"/>
    <s v="11:02:51"/>
    <s v="1403/08/09"/>
    <s v="ستاد"/>
    <n v="175"/>
  </r>
  <r>
    <x v="7"/>
    <n v="106001640"/>
    <n v="0"/>
    <n v="7200"/>
    <s v="برداشت از سپرده بابت کارمزد انتقال کارت به کارت و کارت به شبا(نامه 02.32780)_سند تراکنش کارت"/>
    <m/>
    <s v="I12603851729"/>
    <s v="1-1403-10-IRR-8293583630"/>
    <s v="11:02:51"/>
    <s v="1403/08/09"/>
    <s v="ستاد"/>
    <n v="176"/>
  </r>
  <r>
    <x v="4"/>
    <n v="106008840"/>
    <n v="0"/>
    <n v="400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27699076 شماره پيگيري 566126_سند تراکنش کارت"/>
    <m/>
    <s v="I12600142737"/>
    <s v="1-1403-10-IRR-8288325016"/>
    <s v="18:00:01"/>
    <s v="1403/08/08"/>
    <s v="ستاد"/>
    <n v="177"/>
  </r>
  <r>
    <x v="7"/>
    <n v="110008840"/>
    <n v="0"/>
    <n v="7200"/>
    <s v="برداشت از سپرده بابت کارمزد انتقال کارت به کارت و کارت به شبا(نامه 02.32780)_سند تراکنش کارت"/>
    <m/>
    <s v="I12600142737"/>
    <s v="1-1403-10-IRR-8288325016"/>
    <s v="18:00:00"/>
    <s v="1403/08/08"/>
    <s v="ستاد"/>
    <n v="178"/>
  </r>
  <r>
    <x v="32"/>
    <n v="110016040"/>
    <n v="0"/>
    <n v="9900000"/>
    <s v="انتقال از کارت 5041721220251467 متعلق به ابوالفضل شريفي ميناب (ابوالفضل شريفي ميناب) به کارت 6037697481665187 متعلق به عزت اله بهمن آبادی از اينترنت 115 - پذيرنده سامانه پرداخت همراه بانک - بانک قرض الحسنه رسالت - شماره مرجع 23009200 شماره پيگيري 876196_سند تراکنش کارت"/>
    <m/>
    <s v="I12586629694"/>
    <s v="1-1403-10-IRR-8267303954"/>
    <s v="16:03:26"/>
    <s v="1403/08/06"/>
    <s v="ستاد"/>
    <n v="179"/>
  </r>
  <r>
    <x v="7"/>
    <n v="119916040"/>
    <n v="0"/>
    <n v="7200"/>
    <s v="برداشت از سپرده بابت کارمزد انتقال کارت به کارت و کارت به شبا(نامه 02.32780)_سند تراکنش کارت"/>
    <m/>
    <s v="I12586629694"/>
    <s v="1-1403-10-IRR-8267303954"/>
    <s v="16:03:26"/>
    <s v="1403/08/06"/>
    <s v="ستاد"/>
    <n v="180"/>
  </r>
  <r>
    <x v="2"/>
    <n v="119923240"/>
    <n v="0"/>
    <n v="1310000"/>
    <s v="خريد کالا و خدمات با کارت 5041721220251467 متعلق به ابوالفضل شريفي ميناب (ابوالفضل شريفي ميناب) از پايانه فروش 54338614 - پذيرنده ل ار پ لاست - تجارت الکترونیک پارسیان - شماره مرجع 807621475713 شماره پيگيري 452397_سند تراکنش کارت"/>
    <m/>
    <s v="I12581743779"/>
    <s v="1-1403-10-IRR-8255953456"/>
    <s v="19:36:15"/>
    <s v="1403/08/05"/>
    <s v="ستاد"/>
    <n v="181"/>
  </r>
  <r>
    <x v="13"/>
    <n v="121233240"/>
    <n v="90000000"/>
    <n v="0"/>
    <s v="انتقال از کارت 6037697639404133 به کارت 5041721220251467 متعلق به ابوالفضل شريفي ميناب (ابوالفضل شريفي ميناب) از اينترنت 19050022 - پذيرنده ص خشمان - بانک صادرات - شماره مرجع 007122398532 شماره پيگيري 344650_سند تراکنش کارت"/>
    <m/>
    <s v="I12574826032"/>
    <s v="1-1403-10-IRR-8247594562"/>
    <s v="18:10:28"/>
    <s v="1403/08/04"/>
    <s v="ستاد"/>
    <n v="182"/>
  </r>
  <r>
    <x v="4"/>
    <n v="31233240"/>
    <n v="0"/>
    <n v="1187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5089942 شماره پيگيري 956842_سند تراکنش کارت"/>
    <m/>
    <s v="I12563981502"/>
    <s v="1-1403-10-IRR-8230272339"/>
    <s v="19:59:56"/>
    <s v="1403/08/02"/>
    <s v="ستاد"/>
    <n v="183"/>
  </r>
  <r>
    <x v="7"/>
    <n v="43103240"/>
    <n v="0"/>
    <n v="10000"/>
    <s v="برداشت از سپرده بابت کارمزد انتقال کارت به کارت و کارت به شبا(نامه 02.32780)_سند تراکنش کارت"/>
    <m/>
    <s v="I12563981502"/>
    <s v="1-1403-10-IRR-8230272339"/>
    <s v="19:59:56"/>
    <s v="1403/08/02"/>
    <s v="ستاد"/>
    <n v="184"/>
  </r>
  <r>
    <x v="13"/>
    <n v="43113240"/>
    <n v="30623000"/>
    <n v="0"/>
    <s v="انتقال از کارت 6393461029921521 به کارت 5041721220251467 متعلق به ابوالفضل شريفي ميناب (ابوالفضل شريفي ميناب) از کيوسک داراي کارتخوان 21484499 - پذيرنده پایانه بانک ملت - بانک ملت - شماره مرجع 153903625188 شماره پيگيري 625188_سند تراکنش کارت"/>
    <m/>
    <s v="I12563937223"/>
    <s v="1-1403-10-IRR-8230262892"/>
    <s v="19:54:31"/>
    <s v="1403/08/02"/>
    <s v="ستاد"/>
    <n v="185"/>
  </r>
  <r>
    <x v="13"/>
    <n v="12490240"/>
    <n v="8400000"/>
    <n v="0"/>
    <s v="انتقال از کارت 5892101532845621 به کارت 5041721220251467 متعلق به ابوالفضل شريفي ميناب (ابوالفضل شريفي ميناب) از خودپرداز 115016   - پذيرنده مرکزی - بانک سپه - شماره مرجع 084875940827 شماره پيگيري 3039_سند تراکنش کارت"/>
    <m/>
    <s v="I12553473179"/>
    <s v="1-1403-10-IRR-8220762239"/>
    <s v="12:42:15"/>
    <s v="1403/08/01"/>
    <s v="ستاد"/>
    <n v="186"/>
  </r>
  <r>
    <x v="2"/>
    <n v="4090240"/>
    <n v="0"/>
    <n v="130000"/>
    <s v="خريد کالا و خدمات با کارت 5041721220251467 متعلق به ابوالفضل شريفي ميناب (ابوالفضل شريفي ميناب) از پايانه فروش 13518438 - کارت اعتباری ایران کیش - شماره مرجع 184382952823 شماره پيگيري 8010_سند تراکنش کارت"/>
    <m/>
    <s v="I12552032529"/>
    <s v="1-1403-10-IRR-8226377927"/>
    <s v="09:50:47"/>
    <s v="1403/08/01"/>
    <s v="ستاد"/>
    <n v="187"/>
  </r>
  <r>
    <x v="2"/>
    <n v="4220240"/>
    <n v="0"/>
    <n v="619000"/>
    <s v="خريد کالا و خدمات با کارت 5041721220251467 متعلق به ابوالفضل شريفي ميناب (ابوالفضل شريفي ميناب) از پايانه فروش 7181450 - پذيرنده پایانه به پرداخت ملت - به پرداخت ملت - شماره مرجع 288296593272 شماره پيگيري 593272_سند تراکنش کارت"/>
    <m/>
    <s v="I12552008249"/>
    <s v="1-1403-10-IRR-8226366771"/>
    <s v="09:47:41"/>
    <s v="1403/08/01"/>
    <s v="ستاد"/>
    <n v="188"/>
  </r>
  <r>
    <x v="13"/>
    <n v="4839240"/>
    <n v="3500000"/>
    <n v="0"/>
    <s v="انتقال از کارت 6219861926519678 به کارت 5041721220251467 متعلق به ابوالفضل شريفي ميناب (ابوالفضل شريفي ميناب) از اينترنت 19040 - پذيرنده کارت به کارت برونسپاری - بانک سامان - شماره مرجع 429518645041 شماره پيگيري 645041_سند تراکنش کارت"/>
    <m/>
    <s v="I12548578739"/>
    <s v="1-1403-10-IRR-8218484004"/>
    <s v="18:59:12"/>
    <s v="1403/07/30"/>
    <s v="ستاد"/>
    <n v="189"/>
  </r>
  <r>
    <x v="5"/>
    <n v="1339240"/>
    <n v="0"/>
    <n v="200000"/>
    <s v="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595849 شماره پيگيري 462580_سند تراکنش کارت"/>
    <m/>
    <s v="I12521566449"/>
    <s v="1-1403-10-IRR-8182830247"/>
    <s v="11:03:42"/>
    <s v="1403/07/26"/>
    <s v="ستاد"/>
    <n v="190"/>
  </r>
  <r>
    <x v="4"/>
    <n v="1539240"/>
    <n v="0"/>
    <n v="500000"/>
    <s v="انتقال از کارت 5041721220251467 متعلق به ابوالفضل شريفي ميناب (ابوالفضل شريفي ميناب) به کارت 5041721204797626 متعلق به زهرا عبدي (زهرا عبدي) از اينترنت 115 - پذيرنده سامانه پرداخت همراه بانک - بانک قرض الحسنه رسالت - شماره مرجع 1996300553 شماره پيگيري 168674_سند تراکنش کارت"/>
    <m/>
    <s v="I12509033981"/>
    <s v="1-1403-10-IRR-8164746304"/>
    <s v="10:10:33"/>
    <s v="1403/07/24"/>
    <s v="ستاد"/>
    <n v="191"/>
  </r>
  <r>
    <x v="4"/>
    <n v="2039240"/>
    <n v="0"/>
    <n v="1490000"/>
    <s v="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2238708 شماره پيگيري 44_سند تراکنش کارت"/>
    <m/>
    <s v="I12505744719"/>
    <s v="1-1403-10-IRR-8151101488"/>
    <s v="17:52:45"/>
    <s v="1403/07/23"/>
    <s v="ستاد"/>
    <n v="192"/>
  </r>
  <r>
    <x v="4"/>
    <n v="3529240"/>
    <n v="0"/>
    <n v="339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994542432 شماره پيگيري 410088_سند تراکنش کارت"/>
    <m/>
    <s v="I12503880359"/>
    <s v="1-1403-10-IRR-8153613038"/>
    <s v="12:15:56"/>
    <s v="1403/07/23"/>
    <s v="ستاد"/>
    <n v="193"/>
  </r>
  <r>
    <x v="7"/>
    <n v="6919240"/>
    <n v="0"/>
    <n v="7200"/>
    <s v="برداشت از سپرده بابت کارمزد انتقال کارت به کارت و کارت به شبا(نامه 02.32780)_سند تراکنش کارت"/>
    <m/>
    <s v="I12503880359"/>
    <s v="1-1403-10-IRR-8153613038"/>
    <s v="12:15:56"/>
    <s v="1403/07/23"/>
    <s v="ستاد"/>
    <n v="194"/>
  </r>
  <r>
    <x v="33"/>
    <n v="6926440"/>
    <n v="4910000"/>
    <n v="0"/>
    <s v="انتقال از کارت 6037697444481003 به کارت 5041721220251467 متعلق به ابوالفضل شريفي ميناب (ابوالفضل شريفي ميناب) از اينترنت 19050022 - پذيرنده ص خشمان - بانک صادرات - شماره مرجع 007052072938 شماره پيگيري 19050_سند تراکنش کارت"/>
    <m/>
    <s v="I12502783874"/>
    <s v="1-1403-10-IRR-8156330578"/>
    <s v="09:32:41"/>
    <s v="1403/07/23"/>
    <s v="ستاد"/>
    <n v="195"/>
  </r>
  <r>
    <x v="2"/>
    <n v="2016440"/>
    <n v="0"/>
    <n v="1158000"/>
    <s v="خريد کالا و خدمات با کارت 5041721220251467 متعلق به ابوالفضل شريفي ميناب (ابوالفضل شريفي ميناب) از پايانه فروش 12455347 - پذيرنده س وواط ن ادیم رال ش وروک - پرداخت الکترونیک سامان - شماره مرجع 844711530018 شماره پيگيري 153474_سند تراکنش کارت"/>
    <m/>
    <s v="I12499448682"/>
    <s v="1-1403-10-IRR-8145074686"/>
    <s v="17:22:11"/>
    <s v="1403/07/22"/>
    <s v="ستاد"/>
    <n v="196"/>
  </r>
  <r>
    <x v="5"/>
    <n v="3174440"/>
    <n v="0"/>
    <n v="220000"/>
    <s v="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287339626518 شماره پيگيري 626518_سند تراکنش کارت"/>
    <m/>
    <s v="I12491528673"/>
    <s v="1-1403-10-IRR-8138528512"/>
    <s v="12:03:42"/>
    <s v="1403/07/21"/>
    <s v="ستاد"/>
    <n v="197"/>
  </r>
  <r>
    <x v="4"/>
    <n v="3394440"/>
    <n v="0"/>
    <n v="20730000"/>
    <s v="خريد کالا و خدمات با کارت 5041721220251467 متعلق به ابوالفضل شريفي ميناب (ابوالفضل شريفي ميناب) از پايانه فروش 33418760 - پذيرنده Not - پرداخت الکترونیک سداد (2) - شماره مرجع 324507346205 شماره پيگيري 6147_سند تراکنش کارت"/>
    <m/>
    <s v="I12482966593"/>
    <s v="1-1403-10-IRR-8118082918"/>
    <s v="17:59:21"/>
    <s v="1403/07/19"/>
    <s v="ستاد"/>
    <n v="198"/>
  </r>
  <r>
    <x v="6"/>
    <n v="24124440"/>
    <n v="0"/>
    <n v="2400000"/>
    <s v="خريد کالا و خدمات با کارت 5041721220251467 متعلق به ابوالفضل شريفي ميناب (ابوالفضل شريفي ميناب) از پايانه فروش 92040615 - پذيرنده خ رازی ق ادری - تجارت الکترونیک پارسیان - شماره مرجع 807457409672 شماره پيگيري 386192_سند تراکنش کارت"/>
    <m/>
    <s v="I12480656916"/>
    <s v="1-1403-10-IRR-8114585249"/>
    <s v="11:40:46"/>
    <s v="1403/07/19"/>
    <s v="ستاد"/>
    <n v="199"/>
  </r>
  <r>
    <x v="4"/>
    <n v="26524440"/>
    <n v="0"/>
    <n v="1980000"/>
    <s v="خريد کالا و خدمات با کارت 5041721220251467 متعلق به ابوالفضل شريفي ميناب (ابوالفضل شريفي ميناب) از پايانه فروش 5587567 - پذيرنده پایانه به پرداخت ملت - به پرداخت ملت - شماره مرجع 287156763477 شماره پيگيري 763477_سند تراکنش کارت"/>
    <m/>
    <s v="I12480145446"/>
    <s v="1-1403-10-IRR-8114416698"/>
    <s v="10:36:15"/>
    <s v="1403/07/19"/>
    <s v="ستاد"/>
    <n v="200"/>
  </r>
  <r>
    <x v="4"/>
    <n v="28504440"/>
    <n v="0"/>
    <n v="5383000"/>
    <s v="خريد کالا و خدمات با کارت 5041721220251467 متعلق به ابوالفضل شريفي ميناب (ابوالفضل شريفي ميناب) از پايانه فروش 10958607 - پذيرنده راپاچ ن اناسر الاک - پرداخت الکترونیک سامان - شماره مرجع 844599758250 شماره پيگيري 371706_سند تراکنش کارت"/>
    <m/>
    <s v="I12476701035"/>
    <s v="1-1403-10-IRR-8106177837"/>
    <s v="17:46:41"/>
    <s v="1403/07/18"/>
    <s v="ستاد"/>
    <n v="201"/>
  </r>
  <r>
    <x v="4"/>
    <n v="33887440"/>
    <n v="0"/>
    <n v="3160000"/>
    <s v="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1980655198 شماره پيگيري 522681_سند تراکنش کارت"/>
    <m/>
    <s v="I12463189572"/>
    <s v="1-1403-10-IRR-8094378888"/>
    <s v="13:31:20"/>
    <s v="1403/07/16"/>
    <s v="ستاد"/>
    <n v="202"/>
  </r>
  <r>
    <x v="7"/>
    <n v="37047440"/>
    <n v="0"/>
    <n v="7200"/>
    <s v="برداشت از سپرده بابت کارمزد انتقال کارت به کارت و کارت به شبا(نامه 02.32780)_سند تراکنش کارت"/>
    <m/>
    <s v="I12463189572"/>
    <s v="1-1403-10-IRR-8094378888"/>
    <s v="13:31:20"/>
    <s v="1403/07/16"/>
    <s v="ستاد"/>
    <n v="203"/>
  </r>
  <r>
    <x v="1"/>
    <n v="37054640"/>
    <n v="0"/>
    <n v="3900000"/>
    <s v="خريد کالا و خدمات با کارت 5041721220251467 متعلق به ابوالفضل شريفي ميناب (ابوالفضل شريفي ميناب) از پايانه فروش 92221452 - تجارت الکترونیک پارسیان - شماره مرجع 744497600522 شماره پيگيري 690523_سند تراکنش کارت"/>
    <m/>
    <s v="I12449383564"/>
    <s v="1-1403-10-IRR-8072905241"/>
    <s v="10:15:34"/>
    <s v="1403/07/14"/>
    <s v="ستاد"/>
    <n v="204"/>
  </r>
  <r>
    <x v="34"/>
    <n v="40954640"/>
    <n v="0"/>
    <n v="80000000"/>
    <s v="انتقال از کارت 5041721220251467 متعلق به ابوالفضل شريفي ميناب (ابوالفضل شريفي ميناب) به کارت 6037697596051935 متعلق به احمد علی بخشی از اينترنت 115 - پذيرنده سامانه پرداخت همراه بانک - بانک قرض الحسنه رسالت - شماره مرجع 1971661455 شماره پيگيري 528826_سند تراکنش کارت"/>
    <m/>
    <s v="I12437228129"/>
    <s v="1-1403-10-IRR-8044113749"/>
    <s v="22:06:54"/>
    <s v="1403/07/11"/>
    <s v="ستاد"/>
    <n v="205"/>
  </r>
  <r>
    <x v="7"/>
    <n v="120954640"/>
    <n v="0"/>
    <n v="26800"/>
    <s v="برداشت از سپرده بابت کارمزد انتقال کارت به کارت و کارت به شبا(نامه 02.32780)_سند تراکنش کارت"/>
    <m/>
    <s v="I12437228129"/>
    <s v="1-1403-10-IRR-8044113749"/>
    <s v="22:06:54"/>
    <s v="1403/07/11"/>
    <s v="ستاد"/>
    <n v="206"/>
  </r>
  <r>
    <x v="2"/>
    <n v="120981440"/>
    <n v="0"/>
    <n v="28470000"/>
    <s v="انتقال از کارت 5041721220251467 متعلق به ابوالفضل شريفي ميناب (ابوالفضل شريفي ميناب) به کارت 5022291329108037 متعلق به ابوالفضل شریفی میناب از اينترنت 115 - پذيرنده سامانه پرداخت همراه بانک - بانک قرض الحسنه رسالت - شماره مرجع 1962187808 شماره پيگيري 55077_سند تراکنش کارت"/>
    <m/>
    <s v="I12409747028"/>
    <s v="1-1403-10-IRR-8014012709"/>
    <s v="15:07:07"/>
    <s v="1403/07/07"/>
    <s v="ستاد"/>
    <n v="207"/>
  </r>
  <r>
    <x v="7"/>
    <n v="149451440"/>
    <n v="0"/>
    <n v="12800"/>
    <s v="برداشت از سپرده بابت کارمزد انتقال کارت به کارت و کارت به شبا(نامه 02.32780)_سند تراکنش کارت"/>
    <m/>
    <s v="I12409747028"/>
    <s v="1-1403-10-IRR-8014012709"/>
    <s v="15:07:07"/>
    <s v="1403/07/07"/>
    <s v="ستاد"/>
    <n v="208"/>
  </r>
  <r>
    <x v="7"/>
    <n v="149464240"/>
    <n v="0"/>
    <n v="360"/>
    <s v="برداشت از سپرده بابت کارمزد اعتبار سنجي پردازش داخلي موجودي-صورتحساب-انتقال از کارت-انتقال از کارت به سپرده(نامه 02.32780)_دريافت موجودي سپرده با کارت 5041721220251467 متعلق به ابوالفضل شريفي ميناب (ابوالفضل شريفي ميناب) از اينترنت 115 - پذيرنده سامانه پرداخت همراه بانک - بانک قرض الحسنه رسالت - شماره مرجع 1954660227 شماره پيگيري 527403"/>
    <m/>
    <s v="I12388310028"/>
    <s v="1-1403-10-IRR-7974370137"/>
    <s v="21:00:47"/>
    <s v="1403/07/03"/>
    <s v="ستاد"/>
    <n v="209"/>
  </r>
  <r>
    <x v="7"/>
    <n v="149464600"/>
    <n v="0"/>
    <n v="30000"/>
    <s v="کارمزد صدور رمز همراه بانک شهریور 1403_x000a__برداشت بابت فایل (GW-1726748748276)"/>
    <m/>
    <s v="253232574811-148974"/>
    <s v="1-1403-10-IRR-7932765152"/>
    <s v="12:30:37"/>
    <s v="1403/06/29"/>
    <s v="ستاد"/>
    <n v="210"/>
  </r>
  <r>
    <x v="7"/>
    <n v="149494600"/>
    <n v="0"/>
    <n v="33000"/>
    <s v="صدور کارت مجازی شهریور 1403_x000a__برداشت بابت فایل (GW-1726748191506)"/>
    <m/>
    <s v="253232309621-1337"/>
    <s v="1-1403-10-IRR-7929647669"/>
    <s v="12:18:35"/>
    <s v="1403/06/29"/>
    <s v="ستاد"/>
    <n v="211"/>
  </r>
  <r>
    <x v="7"/>
    <n v="149527600"/>
    <n v="0"/>
    <n v="36000"/>
    <s v="کارمزد صدور کارت نقدی شهریور 1403_x000a__برداشت بابت فایل (GW-1726747932423)"/>
    <m/>
    <s v="253278968283-23332"/>
    <s v="1-1403-10-IRR-7926611430"/>
    <s v="12:13:13"/>
    <s v="1403/06/29"/>
    <s v="ستاد"/>
    <n v="212"/>
  </r>
  <r>
    <x v="7"/>
    <n v="149563600"/>
    <n v="0"/>
    <n v="407000"/>
    <s v="هزینه ارسال کارت نقدی شهریور 1403_x000a__برداشت بابت فایل (GW-1726747740086)"/>
    <m/>
    <s v="253231248058-23332"/>
    <s v="1-1403-10-IRR-7926598337"/>
    <s v="12:11:46"/>
    <s v="1403/06/29"/>
    <s v="ستاد"/>
    <n v="213"/>
  </r>
  <r>
    <x v="20"/>
    <n v="149970600"/>
    <n v="0"/>
    <n v="10000000"/>
    <s v="ثبت پایا با شماره پیگیری 140306280702635890 به مقصد بانک پاسارگاد و شبای IR850570140211512400313001 و ذینفع ابوالفضل شریفی میناب- انتقالی_ثبت پایا در شعبه بانکداري مدرن 1"/>
    <m/>
    <m/>
    <s v="1-1403-10-IRR-7920976170"/>
    <s v="12:10:34"/>
    <s v="1403/06/28"/>
    <s v="ستاد"/>
    <n v="214"/>
  </r>
  <r>
    <x v="7"/>
    <n v="159970600"/>
    <n v="0"/>
    <n v="2400"/>
    <s v="دریافت کارمزد ثبت پایا با شماره پیگیری 140306280702635890 _انتقالی _دریافت کارمزد ثبت پایا"/>
    <m/>
    <m/>
    <s v="1-1403-10-IRR-7920976170"/>
    <s v="12:10:34"/>
    <s v="1403/06/28"/>
    <s v="ستاد"/>
    <n v="215"/>
  </r>
  <r>
    <x v="35"/>
    <s v="÷"/>
    <n v="0"/>
    <n v="170000000"/>
    <s v="ثبت پایا با شماره پیگیری 140306280702638536 به مقصد بانک پاسارگاد و شبای IR850570140211512400313001 و ذینفع ابوالفضل شریفی میناب- انتقالی_ثبت پایا در شعبه بانکداري مدرن 1"/>
    <m/>
    <m/>
    <s v="1-1403-10-IRR-7923908375"/>
    <s v="12:07:12"/>
    <s v="1403/06/28"/>
    <s v="ستاد"/>
    <n v="216"/>
  </r>
  <r>
    <x v="7"/>
    <n v="329973000"/>
    <n v="0"/>
    <n v="17000"/>
    <s v="دریافت کارمزد ثبت پایا با شماره پیگیری 140306280702638536 _انتقالی _دریافت کارمزد ثبت پایا"/>
    <m/>
    <m/>
    <s v="1-1403-10-IRR-7923908375"/>
    <s v="12:07:11"/>
    <s v="1403/06/28"/>
    <s v="ستاد"/>
    <n v="217"/>
  </r>
  <r>
    <x v="20"/>
    <n v="329990000"/>
    <n v="0"/>
    <n v="19900000"/>
    <s v="انتقال از کارت 5041721220251467 متعلق به ابوالفضل شريفي ميناب (ابوالفضل شريفي ميناب) به کارت 5022291047909203 متعلق به ابوالفضل شریفی میناب از اينترنت 115 - پذيرنده سامانه پرداخت همراه بانک - بانک قرض الحسنه رسالت - شماره مرجع 1940273032 شماره پيگيري 140035_سند تراکنش کارت"/>
    <m/>
    <s v="I12345150069"/>
    <s v="1-1403-10-IRR-7917665198"/>
    <s v="09:59:33"/>
    <s v="1403/06/28"/>
    <s v="ستاد"/>
    <n v="218"/>
  </r>
  <r>
    <x v="7"/>
    <n v="349890000"/>
    <n v="0"/>
    <n v="10000"/>
    <s v="برداشت از سپرده بابت کارمزد انتقال کارت به کارت و کارت به شبا(نامه 02.32780)_سند تراکنش کارت"/>
    <m/>
    <s v="I12345150069"/>
    <s v="1-1403-10-IRR-7917665198"/>
    <s v="09:59:33"/>
    <s v="1403/06/28"/>
    <s v="ستاد"/>
    <n v="219"/>
  </r>
  <r>
    <x v="7"/>
    <n v="349900000"/>
    <n v="0"/>
    <n v="100000"/>
    <s v="انتقال وجه بابت شارژ کیف پول_سند انتقال وجه"/>
    <m/>
    <m/>
    <s v="1-1403-10-IRR-7900172718"/>
    <s v="09:44:49"/>
    <s v="1403/06/26"/>
    <s v="شعبه مجازی"/>
    <n v="220"/>
  </r>
  <r>
    <x v="13"/>
    <n v="350000000"/>
    <n v="50000000"/>
    <n v="0"/>
    <s v="انتقال وجه از سپرده 10.3588765.1 -  توسط  سيداحمد حسيني_سامانه همراه بانک"/>
    <m/>
    <s v="1"/>
    <s v="1-1403-10-IRR-7889531530"/>
    <s v="23:37:51"/>
    <s v="1403/06/24"/>
    <s v="ستاد"/>
    <n v="221"/>
  </r>
  <r>
    <x v="13"/>
    <n v="300000000"/>
    <n v="100000000"/>
    <n v="0"/>
    <s v="انتقال از کارت 6280231520610311 به کارت 5041721220251467 متعلق به ابوالفضل شريفي ميناب (ابوالفضل شريفي ميناب) از خودپرداز 760744 - بانک رفاه کارگران - شماره مرجع 425886830586 شماره پيگيري 830586_سند تراکنش کارت"/>
    <m/>
    <s v="I12324648840"/>
    <s v="1-1403-10-IRR-7886369727"/>
    <s v="21:43:05"/>
    <s v="1403/06/24"/>
    <s v="ستاد"/>
    <n v="222"/>
  </r>
  <r>
    <x v="13"/>
    <n v="200000000"/>
    <n v="100000000"/>
    <n v="0"/>
    <s v="انتقال از کارت 6280231530771244 به کارت 5041721220251467 متعلق به ابوالفضل شريفي ميناب (ابوالفضل شريفي ميناب) از کيوسک داراي کارتخوان 20011085 - بانک ملت - شماره مرجع 152299158770 شماره پيگيري 158770_سند تراکنش کارت"/>
    <m/>
    <s v="I12324613803"/>
    <s v="1-1403-10-IRR-7883426895"/>
    <s v="21:36:40"/>
    <s v="1403/06/24"/>
    <s v="ستاد"/>
    <n v="223"/>
  </r>
  <r>
    <x v="13"/>
    <n v="100000000"/>
    <n v="100000000"/>
    <n v="0"/>
    <s v="انتقال از کارت 6037991705788655 به کارت 5041721220251467 متعلق به ابوالفضل شريفي ميناب (ابوالفضل شريفي ميناب) از اينترنت 17592030 - بانک ملی - شماره مرجع 106592973930 شماره پيگيري 663140_سند تراکنش کارت"/>
    <m/>
    <s v="I12324513812"/>
    <s v="1-1403-10-IRR-7883404786"/>
    <s v="21:19:41"/>
    <s v="1403/06/24"/>
    <s v="ستاد"/>
    <n v="2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:D38" firstHeaderRow="0" firstDataRow="1" firstDataCol="1"/>
  <pivotFields count="12">
    <pivotField axis="axisRow" showAll="0">
      <items count="41">
        <item x="0"/>
        <item x="4"/>
        <item x="3"/>
        <item x="14"/>
        <item x="34"/>
        <item x="22"/>
        <item x="32"/>
        <item x="18"/>
        <item x="16"/>
        <item x="30"/>
        <item x="28"/>
        <item x="21"/>
        <item x="8"/>
        <item x="35"/>
        <item x="17"/>
        <item x="10"/>
        <item x="12"/>
        <item x="11"/>
        <item x="15"/>
        <item x="24"/>
        <item m="1" x="37"/>
        <item x="33"/>
        <item x="5"/>
        <item x="19"/>
        <item x="7"/>
        <item x="31"/>
        <item x="6"/>
        <item x="2"/>
        <item x="9"/>
        <item m="1" x="38"/>
        <item x="20"/>
        <item x="13"/>
        <item m="1" x="39"/>
        <item m="1" x="36"/>
        <item x="29"/>
        <item x="23"/>
        <item x="25"/>
        <item x="26"/>
        <item x="27"/>
        <item x="1"/>
        <item t="default"/>
      </items>
    </pivotField>
    <pivotField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واریز" fld="2" baseField="0" baseItem="0"/>
    <dataField name="Sum of برداشت" fld="3" baseField="0" baseItem="0"/>
  </dataFields>
  <formats count="125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0" type="button" dataOnly="0" labelOnly="1" outline="0" axis="axisRow" fieldPosition="0"/>
    </format>
    <format dxfId="121">
      <pivotArea dataOnly="0" labelOnly="1" grandRow="1" outline="0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0" type="button" dataOnly="0" labelOnly="1" outline="0" axis="axisRow" fieldPosition="0"/>
    </format>
    <format dxfId="117">
      <pivotArea dataOnly="0" labelOnly="1" grandRow="1" outline="0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0" type="button" dataOnly="0" labelOnly="1" outline="0" axis="axisRow" fieldPosition="0"/>
    </format>
    <format dxfId="113">
      <pivotArea dataOnly="0" labelOnly="1" grandRow="1" outline="0" fieldPosition="0"/>
    </format>
    <format dxfId="112">
      <pivotArea outline="0" collapsedLevelsAreSubtotals="1" fieldPosition="0"/>
    </format>
    <format dxfId="111">
      <pivotArea outline="0" collapsedLevelsAreSubtotals="1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grandRow="1" outline="0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dataOnly="0" labelOnly="1" grandRow="1" outline="0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0" type="button" dataOnly="0" labelOnly="1" outline="0" axis="axisRow" fieldPosition="0"/>
    </format>
    <format dxfId="99">
      <pivotArea dataOnly="0" labelOnly="1" grandRow="1" outline="0" fieldPosition="0"/>
    </format>
    <format dxfId="98">
      <pivotArea collapsedLevelsAreSubtotals="1" fieldPosition="0">
        <references count="2">
          <reference field="4294967294" count="1" selected="0">
            <x v="1"/>
          </reference>
          <reference field="0" count="1">
            <x v="18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0" type="button" dataOnly="0" labelOnly="1" outline="0" axis="axisRow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0" type="button" dataOnly="0" labelOnly="1" outline="0" axis="axisRow" fieldPosition="0"/>
    </format>
    <format dxfId="70">
      <pivotArea dataOnly="0" labelOnly="1" fieldPosition="0">
        <references count="1">
          <reference field="0" count="0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collapsedLevelsAreSubtotals="1" fieldPosition="0">
        <references count="1">
          <reference field="0" count="1">
            <x v="22"/>
          </reference>
        </references>
      </pivotArea>
    </format>
    <format dxfId="54">
      <pivotArea dataOnly="0" labelOnly="1" fieldPosition="0">
        <references count="1">
          <reference field="0" count="1">
            <x v="22"/>
          </reference>
        </references>
      </pivotArea>
    </format>
    <format dxfId="53">
      <pivotArea collapsedLevelsAreSubtotals="1" fieldPosition="0">
        <references count="1">
          <reference field="0" count="2">
            <x v="24"/>
            <x v="25"/>
          </reference>
        </references>
      </pivotArea>
    </format>
    <format dxfId="52">
      <pivotArea dataOnly="0" labelOnly="1" fieldPosition="0">
        <references count="1">
          <reference field="0" count="2">
            <x v="24"/>
            <x v="25"/>
          </reference>
        </references>
      </pivotArea>
    </format>
    <format dxfId="51">
      <pivotArea collapsedLevelsAreSubtotals="1" fieldPosition="0">
        <references count="1">
          <reference field="0" count="2">
            <x v="27"/>
            <x v="28"/>
          </reference>
        </references>
      </pivotArea>
    </format>
    <format dxfId="50">
      <pivotArea dataOnly="0" labelOnly="1" fieldPosition="0">
        <references count="1">
          <reference field="0" count="2">
            <x v="27"/>
            <x v="28"/>
          </reference>
        </references>
      </pivotArea>
    </format>
    <format dxfId="49">
      <pivotArea collapsedLevelsAreSubtotals="1" fieldPosition="0">
        <references count="1">
          <reference field="0" count="1">
            <x v="39"/>
          </reference>
        </references>
      </pivotArea>
    </format>
    <format dxfId="48">
      <pivotArea dataOnly="0" labelOnly="1" fieldPosition="0">
        <references count="1">
          <reference field="0" count="1">
            <x v="39"/>
          </reference>
        </references>
      </pivotArea>
    </format>
    <format dxfId="47">
      <pivotArea collapsedLevelsAreSubtotals="1" fieldPosition="0">
        <references count="1">
          <reference field="0" count="1">
            <x v="0"/>
          </reference>
        </references>
      </pivotArea>
    </format>
    <format dxfId="46">
      <pivotArea dataOnly="0" labelOnly="1" fieldPosition="0">
        <references count="1">
          <reference field="0" count="1">
            <x v="0"/>
          </reference>
        </references>
      </pivotArea>
    </format>
    <format dxfId="45">
      <pivotArea collapsedLevelsAreSubtotals="1" fieldPosition="0">
        <references count="1">
          <reference field="0" count="1">
            <x v="3"/>
          </reference>
        </references>
      </pivotArea>
    </format>
    <format dxfId="44">
      <pivotArea dataOnly="0" labelOnly="1" fieldPosition="0">
        <references count="1">
          <reference field="0" count="1">
            <x v="3"/>
          </reference>
        </references>
      </pivotArea>
    </format>
    <format dxfId="43">
      <pivotArea collapsedLevelsAreSubtotals="1" fieldPosition="0">
        <references count="1">
          <reference field="0" count="1">
            <x v="13"/>
          </reference>
        </references>
      </pivotArea>
    </format>
    <format dxfId="42">
      <pivotArea dataOnly="0" labelOnly="1" fieldPosition="0">
        <references count="1">
          <reference field="0" count="1">
            <x v="13"/>
          </reference>
        </references>
      </pivotArea>
    </format>
    <format dxfId="41">
      <pivotArea collapsedLevelsAreSubtotals="1" fieldPosition="0">
        <references count="1">
          <reference field="0" count="2">
            <x v="15"/>
            <x v="16"/>
          </reference>
        </references>
      </pivotArea>
    </format>
    <format dxfId="40">
      <pivotArea dataOnly="0" labelOnly="1" fieldPosition="0">
        <references count="1">
          <reference field="0" count="2">
            <x v="15"/>
            <x v="16"/>
          </reference>
        </references>
      </pivotArea>
    </format>
    <format dxfId="39">
      <pivotArea collapsedLevelsAreSubtotals="1" fieldPosition="0">
        <references count="1">
          <reference field="0" count="1">
            <x v="18"/>
          </reference>
        </references>
      </pivotArea>
    </format>
    <format dxfId="38">
      <pivotArea dataOnly="0" labelOnly="1" fieldPosition="0">
        <references count="1">
          <reference field="0" count="1">
            <x v="18"/>
          </reference>
        </references>
      </pivotArea>
    </format>
    <format dxfId="37">
      <pivotArea collapsedLevelsAreSubtotals="1" fieldPosition="0">
        <references count="1">
          <reference field="0" count="1">
            <x v="21"/>
          </reference>
        </references>
      </pivotArea>
    </format>
    <format dxfId="36">
      <pivotArea dataOnly="0" labelOnly="1" fieldPosition="0">
        <references count="1">
          <reference field="0" count="1">
            <x v="21"/>
          </reference>
        </references>
      </pivotArea>
    </format>
    <format dxfId="35">
      <pivotArea collapsedLevelsAreSubtotals="1" fieldPosition="0">
        <references count="1">
          <reference field="0" count="2">
            <x v="31"/>
            <x v="34"/>
          </reference>
        </references>
      </pivotArea>
    </format>
    <format dxfId="34">
      <pivotArea dataOnly="0" labelOnly="1" fieldPosition="0">
        <references count="1">
          <reference field="0" count="2">
            <x v="31"/>
            <x v="34"/>
          </reference>
        </references>
      </pivotArea>
    </format>
    <format dxfId="33">
      <pivotArea collapsedLevelsAreSubtotals="1" fieldPosition="0">
        <references count="1">
          <reference field="0" count="1">
            <x v="2"/>
          </reference>
        </references>
      </pivotArea>
    </format>
    <format dxfId="32">
      <pivotArea dataOnly="0" labelOnly="1" fieldPosition="0">
        <references count="1">
          <reference field="0" count="1">
            <x v="2"/>
          </reference>
        </references>
      </pivotArea>
    </format>
    <format dxfId="31">
      <pivotArea collapsedLevelsAreSubtotals="1" fieldPosition="0">
        <references count="1">
          <reference field="0" count="1">
            <x v="1"/>
          </reference>
        </references>
      </pivotArea>
    </format>
    <format dxfId="30">
      <pivotArea dataOnly="0" labelOnly="1" fieldPosition="0">
        <references count="1">
          <reference field="0" count="1">
            <x v="1"/>
          </reference>
        </references>
      </pivotArea>
    </format>
    <format dxfId="29">
      <pivotArea collapsedLevelsAreSubtotals="1" fieldPosition="0">
        <references count="1">
          <reference field="0" count="1">
            <x v="17"/>
          </reference>
        </references>
      </pivotArea>
    </format>
    <format dxfId="28">
      <pivotArea dataOnly="0" labelOnly="1" fieldPosition="0">
        <references count="1">
          <reference field="0" count="1">
            <x v="17"/>
          </reference>
        </references>
      </pivotArea>
    </format>
    <format dxfId="27">
      <pivotArea collapsedLevelsAreSubtotals="1" fieldPosition="0">
        <references count="1">
          <reference field="0" count="1">
            <x v="6"/>
          </reference>
        </references>
      </pivotArea>
    </format>
    <format dxfId="26">
      <pivotArea dataOnly="0" labelOnly="1" fieldPosition="0">
        <references count="1">
          <reference field="0" count="1">
            <x v="6"/>
          </reference>
        </references>
      </pivotArea>
    </format>
    <format dxfId="25">
      <pivotArea collapsedLevelsAreSubtotals="1" fieldPosition="0">
        <references count="1">
          <reference field="0" count="1">
            <x v="8"/>
          </reference>
        </references>
      </pivotArea>
    </format>
    <format dxfId="24">
      <pivotArea dataOnly="0" labelOnly="1" fieldPosition="0">
        <references count="1">
          <reference field="0" count="1">
            <x v="8"/>
          </reference>
        </references>
      </pivotArea>
    </format>
    <format dxfId="23">
      <pivotArea collapsedLevelsAreSubtotals="1" fieldPosition="0">
        <references count="1">
          <reference field="0" count="1">
            <x v="38"/>
          </reference>
        </references>
      </pivotArea>
    </format>
    <format dxfId="22">
      <pivotArea dataOnly="0" labelOnly="1" fieldPosition="0">
        <references count="1">
          <reference field="0" count="1">
            <x v="38"/>
          </reference>
        </references>
      </pivotArea>
    </format>
    <format dxfId="21">
      <pivotArea collapsedLevelsAreSubtotals="1" fieldPosition="0">
        <references count="1">
          <reference field="0" count="1">
            <x v="4"/>
          </reference>
        </references>
      </pivotArea>
    </format>
    <format dxfId="20">
      <pivotArea dataOnly="0" labelOnly="1" fieldPosition="0">
        <references count="1">
          <reference field="0" count="1">
            <x v="4"/>
          </reference>
        </references>
      </pivotArea>
    </format>
    <format dxfId="19">
      <pivotArea collapsedLevelsAreSubtotals="1" fieldPosition="0">
        <references count="1">
          <reference field="0" count="1">
            <x v="7"/>
          </reference>
        </references>
      </pivotArea>
    </format>
    <format dxfId="18">
      <pivotArea dataOnly="0" labelOnly="1" fieldPosition="0">
        <references count="1">
          <reference field="0" count="1">
            <x v="7"/>
          </reference>
        </references>
      </pivotArea>
    </format>
    <format dxfId="17">
      <pivotArea collapsedLevelsAreSubtotals="1" fieldPosition="0">
        <references count="1">
          <reference field="0" count="2">
            <x v="9"/>
            <x v="10"/>
          </reference>
        </references>
      </pivotArea>
    </format>
    <format dxfId="16">
      <pivotArea dataOnly="0" labelOnly="1" fieldPosition="0">
        <references count="1">
          <reference field="0" count="2">
            <x v="9"/>
            <x v="10"/>
          </reference>
        </references>
      </pivotArea>
    </format>
    <format dxfId="15">
      <pivotArea collapsedLevelsAreSubtotals="1" fieldPosition="0">
        <references count="1">
          <reference field="0" count="1">
            <x v="11"/>
          </reference>
        </references>
      </pivotArea>
    </format>
    <format dxfId="14">
      <pivotArea dataOnly="0" labelOnly="1" fieldPosition="0">
        <references count="1">
          <reference field="0" count="1">
            <x v="11"/>
          </reference>
        </references>
      </pivotArea>
    </format>
    <format dxfId="13">
      <pivotArea collapsedLevelsAreSubtotals="1" fieldPosition="0">
        <references count="1">
          <reference field="0" count="1">
            <x v="12"/>
          </reference>
        </references>
      </pivotArea>
    </format>
    <format dxfId="12">
      <pivotArea dataOnly="0" labelOnly="1" fieldPosition="0">
        <references count="1">
          <reference field="0" count="1">
            <x v="12"/>
          </reference>
        </references>
      </pivotArea>
    </format>
    <format dxfId="11">
      <pivotArea collapsedLevelsAreSubtotals="1" fieldPosition="0">
        <references count="1">
          <reference field="0" count="1">
            <x v="5"/>
          </reference>
        </references>
      </pivotArea>
    </format>
    <format dxfId="10">
      <pivotArea dataOnly="0" labelOnly="1" fieldPosition="0">
        <references count="1">
          <reference field="0" count="1">
            <x v="5"/>
          </reference>
        </references>
      </pivotArea>
    </format>
    <format dxfId="9">
      <pivotArea collapsedLevelsAreSubtotals="1" fieldPosition="0">
        <references count="1">
          <reference field="0" count="1">
            <x v="23"/>
          </reference>
        </references>
      </pivotArea>
    </format>
    <format dxfId="8">
      <pivotArea dataOnly="0" labelOnly="1" fieldPosition="0">
        <references count="1">
          <reference field="0" count="1">
            <x v="23"/>
          </reference>
        </references>
      </pivotArea>
    </format>
    <format dxfId="7">
      <pivotArea collapsedLevelsAreSubtotals="1" fieldPosition="0">
        <references count="1">
          <reference field="0" count="1">
            <x v="35"/>
          </reference>
        </references>
      </pivotArea>
    </format>
    <format dxfId="6">
      <pivotArea dataOnly="0" labelOnly="1" fieldPosition="0">
        <references count="1">
          <reference field="0" count="1">
            <x v="35"/>
          </reference>
        </references>
      </pivotArea>
    </format>
    <format dxfId="5">
      <pivotArea collapsedLevelsAreSubtotals="1" fieldPosition="0">
        <references count="1">
          <reference field="0" count="2">
            <x v="36"/>
            <x v="37"/>
          </reference>
        </references>
      </pivotArea>
    </format>
    <format dxfId="4">
      <pivotArea dataOnly="0" labelOnly="1" fieldPosition="0">
        <references count="1">
          <reference field="0" count="2">
            <x v="36"/>
            <x v="37"/>
          </reference>
        </references>
      </pivotArea>
    </format>
    <format dxfId="3">
      <pivotArea collapsedLevelsAreSubtotals="1" fieldPosition="0">
        <references count="1">
          <reference field="0" count="1">
            <x v="14"/>
          </reference>
        </references>
      </pivotArea>
    </format>
    <format dxfId="2">
      <pivotArea dataOnly="0" labelOnly="1" fieldPosition="0">
        <references count="1">
          <reference field="0" count="1">
            <x v="14"/>
          </reference>
        </references>
      </pivotArea>
    </format>
    <format dxfId="1">
      <pivotArea collapsedLevelsAreSubtotals="1" fieldPosition="0">
        <references count="1">
          <reference field="0" count="1">
            <x v="14"/>
          </reference>
        </references>
      </pivotArea>
    </format>
    <format dxfId="0">
      <pivotArea dataOnly="0" labelOnly="1" fieldPosition="0">
        <references count="1">
          <reference field="0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rightToLeft="1" tabSelected="1" zoomScale="124" zoomScaleNormal="124" workbookViewId="0">
      <selection activeCell="D12" sqref="D12"/>
    </sheetView>
  </sheetViews>
  <sheetFormatPr defaultRowHeight="15.75" x14ac:dyDescent="0.25"/>
  <cols>
    <col min="1" max="1" width="4.5703125" style="36" bestFit="1" customWidth="1"/>
    <col min="2" max="2" width="34" style="36" bestFit="1" customWidth="1"/>
    <col min="3" max="3" width="15" style="38" bestFit="1" customWidth="1"/>
    <col min="4" max="4" width="17" style="38" bestFit="1" customWidth="1"/>
    <col min="5" max="5" width="13.140625" style="36" customWidth="1"/>
    <col min="6" max="6" width="15.5703125" style="36" bestFit="1" customWidth="1"/>
    <col min="7" max="8" width="9.140625" style="36"/>
    <col min="9" max="9" width="8.140625" style="36" bestFit="1" customWidth="1"/>
    <col min="10" max="10" width="13.7109375" style="38" bestFit="1" customWidth="1"/>
    <col min="11" max="11" width="19" style="38" customWidth="1"/>
    <col min="12" max="12" width="12.42578125" style="38" bestFit="1" customWidth="1"/>
    <col min="13" max="13" width="18.28515625" style="38" customWidth="1"/>
    <col min="14" max="16384" width="9.140625" style="36"/>
  </cols>
  <sheetData>
    <row r="1" spans="1:6" x14ac:dyDescent="0.25">
      <c r="A1" s="35" t="s">
        <v>11</v>
      </c>
      <c r="B1" s="47" t="s">
        <v>829</v>
      </c>
      <c r="C1" s="50" t="s">
        <v>831</v>
      </c>
      <c r="D1" s="49" t="s">
        <v>832</v>
      </c>
      <c r="E1" s="35" t="s">
        <v>839</v>
      </c>
      <c r="F1" s="35" t="s">
        <v>841</v>
      </c>
    </row>
    <row r="2" spans="1:6" x14ac:dyDescent="0.25">
      <c r="A2" s="35">
        <v>1</v>
      </c>
      <c r="B2" s="57" t="s">
        <v>799</v>
      </c>
      <c r="C2" s="55">
        <v>20000000</v>
      </c>
      <c r="D2" s="56">
        <v>0</v>
      </c>
      <c r="E2" s="39" t="s">
        <v>838</v>
      </c>
      <c r="F2" s="39" t="s">
        <v>838</v>
      </c>
    </row>
    <row r="3" spans="1:6" x14ac:dyDescent="0.25">
      <c r="A3" s="35">
        <v>2</v>
      </c>
      <c r="B3" s="53" t="s">
        <v>802</v>
      </c>
      <c r="C3" s="51">
        <v>0</v>
      </c>
      <c r="D3" s="52">
        <v>244458332</v>
      </c>
      <c r="E3" s="39">
        <v>22</v>
      </c>
      <c r="F3" s="39">
        <v>24</v>
      </c>
    </row>
    <row r="4" spans="1:6" x14ac:dyDescent="0.25">
      <c r="A4" s="35">
        <v>3</v>
      </c>
      <c r="B4" s="53" t="s">
        <v>826</v>
      </c>
      <c r="C4" s="51">
        <v>0</v>
      </c>
      <c r="D4" s="52">
        <v>47768186</v>
      </c>
      <c r="E4" s="39" t="s">
        <v>842</v>
      </c>
      <c r="F4" s="39" t="s">
        <v>844</v>
      </c>
    </row>
    <row r="5" spans="1:6" x14ac:dyDescent="0.25">
      <c r="A5" s="35">
        <v>4</v>
      </c>
      <c r="B5" s="53" t="s">
        <v>821</v>
      </c>
      <c r="C5" s="51">
        <v>0</v>
      </c>
      <c r="D5" s="52">
        <v>23000000</v>
      </c>
      <c r="E5" s="39">
        <v>0</v>
      </c>
      <c r="F5" s="39">
        <v>12</v>
      </c>
    </row>
    <row r="6" spans="1:6" x14ac:dyDescent="0.25">
      <c r="A6" s="35">
        <v>5</v>
      </c>
      <c r="B6" s="53" t="s">
        <v>801</v>
      </c>
      <c r="C6" s="51">
        <v>0</v>
      </c>
      <c r="D6" s="52">
        <v>80000000</v>
      </c>
      <c r="E6" s="39"/>
      <c r="F6" s="39">
        <v>27</v>
      </c>
    </row>
    <row r="7" spans="1:6" x14ac:dyDescent="0.25">
      <c r="A7" s="35">
        <v>6</v>
      </c>
      <c r="B7" s="53" t="s">
        <v>816</v>
      </c>
      <c r="C7" s="51">
        <v>0</v>
      </c>
      <c r="D7" s="52">
        <v>252500000</v>
      </c>
      <c r="E7" s="39"/>
      <c r="F7" s="39">
        <v>32</v>
      </c>
    </row>
    <row r="8" spans="1:6" x14ac:dyDescent="0.25">
      <c r="A8" s="35">
        <v>7</v>
      </c>
      <c r="B8" s="53" t="s">
        <v>808</v>
      </c>
      <c r="C8" s="51">
        <v>0</v>
      </c>
      <c r="D8" s="52">
        <v>9900000</v>
      </c>
      <c r="E8" s="39"/>
      <c r="F8" s="39">
        <v>22</v>
      </c>
    </row>
    <row r="9" spans="1:6" x14ac:dyDescent="0.25">
      <c r="A9" s="35">
        <v>8</v>
      </c>
      <c r="B9" s="53" t="s">
        <v>818</v>
      </c>
      <c r="C9" s="51">
        <v>0</v>
      </c>
      <c r="D9" s="52">
        <v>309050000</v>
      </c>
      <c r="E9" s="39"/>
      <c r="F9" s="39">
        <v>27</v>
      </c>
    </row>
    <row r="10" spans="1:6" x14ac:dyDescent="0.25">
      <c r="A10" s="35">
        <v>9</v>
      </c>
      <c r="B10" s="53" t="s">
        <v>820</v>
      </c>
      <c r="C10" s="51">
        <v>0</v>
      </c>
      <c r="D10" s="52">
        <v>150000000</v>
      </c>
      <c r="E10" s="39"/>
      <c r="F10" s="39">
        <v>25</v>
      </c>
    </row>
    <row r="11" spans="1:6" x14ac:dyDescent="0.25">
      <c r="A11" s="35">
        <v>10</v>
      </c>
      <c r="B11" s="53" t="s">
        <v>811</v>
      </c>
      <c r="C11" s="51">
        <v>0</v>
      </c>
      <c r="D11" s="52">
        <v>47000000</v>
      </c>
      <c r="E11" s="39"/>
      <c r="F11" s="39">
        <v>28</v>
      </c>
    </row>
    <row r="12" spans="1:6" x14ac:dyDescent="0.25">
      <c r="A12" s="35">
        <v>11</v>
      </c>
      <c r="B12" s="53" t="s">
        <v>813</v>
      </c>
      <c r="C12" s="51">
        <v>0</v>
      </c>
      <c r="D12" s="52">
        <v>12000000</v>
      </c>
      <c r="E12" s="39"/>
      <c r="F12" s="39">
        <v>28</v>
      </c>
    </row>
    <row r="13" spans="1:6" x14ac:dyDescent="0.25">
      <c r="A13" s="35">
        <v>12</v>
      </c>
      <c r="B13" s="53" t="s">
        <v>817</v>
      </c>
      <c r="C13" s="51">
        <v>0</v>
      </c>
      <c r="D13" s="52">
        <v>43000000</v>
      </c>
      <c r="E13" s="39"/>
      <c r="F13" s="39">
        <v>29</v>
      </c>
    </row>
    <row r="14" spans="1:6" x14ac:dyDescent="0.25">
      <c r="A14" s="35">
        <v>13</v>
      </c>
      <c r="B14" s="53" t="s">
        <v>814</v>
      </c>
      <c r="C14" s="51">
        <v>0</v>
      </c>
      <c r="D14" s="52">
        <v>35100000</v>
      </c>
      <c r="E14" s="39"/>
      <c r="F14" s="39">
        <v>30</v>
      </c>
    </row>
    <row r="15" spans="1:6" x14ac:dyDescent="0.25">
      <c r="A15" s="35">
        <v>14</v>
      </c>
      <c r="B15" s="53" t="s">
        <v>828</v>
      </c>
      <c r="C15" s="51">
        <v>0</v>
      </c>
      <c r="D15" s="52">
        <v>170000000</v>
      </c>
      <c r="E15" s="39">
        <v>0</v>
      </c>
      <c r="F15" s="39">
        <v>12</v>
      </c>
    </row>
    <row r="16" spans="1:6" x14ac:dyDescent="0.25">
      <c r="A16" s="35">
        <v>15</v>
      </c>
      <c r="B16" s="53" t="s">
        <v>819</v>
      </c>
      <c r="C16" s="51">
        <v>0</v>
      </c>
      <c r="D16" s="52">
        <v>2910000</v>
      </c>
      <c r="E16" s="39"/>
      <c r="F16" s="39">
        <v>31</v>
      </c>
    </row>
    <row r="17" spans="1:12" x14ac:dyDescent="0.25">
      <c r="A17" s="37">
        <v>16</v>
      </c>
      <c r="B17" s="53" t="s">
        <v>822</v>
      </c>
      <c r="C17" s="51">
        <v>16800000</v>
      </c>
      <c r="D17" s="52">
        <v>0</v>
      </c>
      <c r="E17" s="39" t="s">
        <v>838</v>
      </c>
      <c r="F17" s="39" t="s">
        <v>838</v>
      </c>
    </row>
    <row r="18" spans="1:12" x14ac:dyDescent="0.25">
      <c r="A18" s="37">
        <v>17</v>
      </c>
      <c r="B18" s="53" t="s">
        <v>824</v>
      </c>
      <c r="C18" s="51">
        <v>0</v>
      </c>
      <c r="D18" s="52">
        <v>20000000</v>
      </c>
      <c r="E18" s="39" t="s">
        <v>838</v>
      </c>
      <c r="F18" s="39" t="s">
        <v>838</v>
      </c>
    </row>
    <row r="19" spans="1:12" x14ac:dyDescent="0.25">
      <c r="A19" s="37">
        <v>18</v>
      </c>
      <c r="B19" s="53" t="s">
        <v>823</v>
      </c>
      <c r="C19" s="51">
        <v>0</v>
      </c>
      <c r="D19" s="52">
        <v>16800000</v>
      </c>
      <c r="E19" s="39" t="s">
        <v>838</v>
      </c>
      <c r="F19" s="39" t="s">
        <v>838</v>
      </c>
    </row>
    <row r="20" spans="1:12" x14ac:dyDescent="0.25">
      <c r="A20" s="37">
        <v>19</v>
      </c>
      <c r="B20" s="59" t="s">
        <v>812</v>
      </c>
      <c r="C20" s="58">
        <v>0</v>
      </c>
      <c r="D20" s="44">
        <v>58330000</v>
      </c>
      <c r="E20" s="40" t="s">
        <v>843</v>
      </c>
      <c r="F20" s="40"/>
    </row>
    <row r="21" spans="1:12" x14ac:dyDescent="0.25">
      <c r="A21" s="35">
        <v>20</v>
      </c>
      <c r="B21" s="48" t="s">
        <v>815</v>
      </c>
      <c r="C21" s="42">
        <v>0</v>
      </c>
      <c r="D21" s="43">
        <v>67800000</v>
      </c>
      <c r="E21" s="35"/>
      <c r="F21" s="35"/>
    </row>
    <row r="22" spans="1:12" x14ac:dyDescent="0.25">
      <c r="A22" s="35">
        <v>21</v>
      </c>
      <c r="B22" s="53" t="s">
        <v>805</v>
      </c>
      <c r="C22" s="51">
        <v>4910000</v>
      </c>
      <c r="D22" s="52">
        <v>0</v>
      </c>
      <c r="E22" s="39">
        <v>0</v>
      </c>
      <c r="F22" s="39">
        <v>264</v>
      </c>
      <c r="K22" s="65" t="s">
        <v>845</v>
      </c>
      <c r="L22" s="67" t="s">
        <v>846</v>
      </c>
    </row>
    <row r="23" spans="1:12" x14ac:dyDescent="0.25">
      <c r="A23" s="35">
        <v>22</v>
      </c>
      <c r="B23" s="53" t="s">
        <v>806</v>
      </c>
      <c r="C23" s="51">
        <v>0</v>
      </c>
      <c r="D23" s="52">
        <v>4835000</v>
      </c>
      <c r="E23" s="39">
        <v>16</v>
      </c>
      <c r="F23" s="39">
        <v>14</v>
      </c>
      <c r="K23" s="66">
        <v>184094552</v>
      </c>
    </row>
    <row r="24" spans="1:12" x14ac:dyDescent="0.25">
      <c r="A24" s="35">
        <v>23</v>
      </c>
      <c r="B24" s="53" t="s">
        <v>809</v>
      </c>
      <c r="C24" s="51">
        <v>0</v>
      </c>
      <c r="D24" s="52">
        <v>47600000</v>
      </c>
      <c r="E24" s="39"/>
      <c r="F24" s="39">
        <v>33</v>
      </c>
      <c r="J24" s="38">
        <f>SUM(K24:K27)</f>
        <v>16737800</v>
      </c>
      <c r="K24" s="65">
        <v>6780000</v>
      </c>
      <c r="L24" s="38" t="s">
        <v>815</v>
      </c>
    </row>
    <row r="25" spans="1:12" x14ac:dyDescent="0.25">
      <c r="A25" s="35">
        <v>24</v>
      </c>
      <c r="B25" s="53" t="s">
        <v>800</v>
      </c>
      <c r="C25" s="51">
        <v>0</v>
      </c>
      <c r="D25" s="52">
        <v>1191960</v>
      </c>
      <c r="E25" s="39">
        <v>19</v>
      </c>
      <c r="F25" s="39">
        <v>18</v>
      </c>
      <c r="K25" s="65">
        <v>560000</v>
      </c>
      <c r="L25" s="38" t="s">
        <v>803</v>
      </c>
    </row>
    <row r="26" spans="1:12" x14ac:dyDescent="0.25">
      <c r="A26" s="35">
        <v>25</v>
      </c>
      <c r="B26" s="53" t="s">
        <v>810</v>
      </c>
      <c r="C26" s="51">
        <v>0</v>
      </c>
      <c r="D26" s="52">
        <v>26726200</v>
      </c>
      <c r="E26" s="39">
        <v>17</v>
      </c>
      <c r="F26" s="39">
        <v>15</v>
      </c>
      <c r="K26" s="65">
        <v>5604800</v>
      </c>
      <c r="L26" s="38" t="s">
        <v>847</v>
      </c>
    </row>
    <row r="27" spans="1:12" x14ac:dyDescent="0.25">
      <c r="A27" s="35">
        <v>26</v>
      </c>
      <c r="B27" s="48" t="s">
        <v>803</v>
      </c>
      <c r="C27" s="42">
        <v>0</v>
      </c>
      <c r="D27" s="43">
        <v>5600000</v>
      </c>
      <c r="E27" s="35"/>
      <c r="F27" s="35"/>
      <c r="K27" s="65">
        <v>3793000</v>
      </c>
      <c r="L27" s="38" t="s">
        <v>848</v>
      </c>
    </row>
    <row r="28" spans="1:12" x14ac:dyDescent="0.25">
      <c r="A28" s="35">
        <v>27</v>
      </c>
      <c r="B28" s="53" t="s">
        <v>807</v>
      </c>
      <c r="C28" s="51">
        <v>0</v>
      </c>
      <c r="D28" s="52">
        <v>76455850</v>
      </c>
      <c r="E28" s="39">
        <v>18</v>
      </c>
      <c r="F28" s="39">
        <v>16</v>
      </c>
      <c r="K28" s="65">
        <f>SUM(K23:K27)</f>
        <v>200832352</v>
      </c>
    </row>
    <row r="29" spans="1:12" x14ac:dyDescent="0.25">
      <c r="A29" s="35">
        <v>28</v>
      </c>
      <c r="B29" s="53" t="s">
        <v>825</v>
      </c>
      <c r="C29" s="51">
        <v>0</v>
      </c>
      <c r="D29" s="52">
        <v>42070000</v>
      </c>
      <c r="E29" s="39">
        <v>19</v>
      </c>
      <c r="F29" s="39">
        <v>17</v>
      </c>
      <c r="K29" s="65"/>
    </row>
    <row r="30" spans="1:12" x14ac:dyDescent="0.25">
      <c r="A30" s="35">
        <v>29</v>
      </c>
      <c r="B30" s="48" t="s">
        <v>804</v>
      </c>
      <c r="C30" s="42">
        <v>0</v>
      </c>
      <c r="D30" s="43">
        <v>56048008</v>
      </c>
      <c r="E30" s="35"/>
      <c r="F30" s="35"/>
    </row>
    <row r="31" spans="1:12" x14ac:dyDescent="0.25">
      <c r="A31" s="35">
        <v>30</v>
      </c>
      <c r="B31" s="53" t="s">
        <v>2</v>
      </c>
      <c r="C31" s="51">
        <v>2088873000</v>
      </c>
      <c r="D31" s="52">
        <v>0</v>
      </c>
      <c r="E31" s="39" t="s">
        <v>838</v>
      </c>
      <c r="F31" s="39" t="s">
        <v>838</v>
      </c>
    </row>
    <row r="32" spans="1:12" x14ac:dyDescent="0.25">
      <c r="A32" s="35">
        <v>31</v>
      </c>
      <c r="B32" s="53" t="s">
        <v>833</v>
      </c>
      <c r="C32" s="51">
        <v>1287000</v>
      </c>
      <c r="D32" s="52">
        <v>0</v>
      </c>
      <c r="E32" s="39">
        <v>0</v>
      </c>
      <c r="F32" s="39">
        <v>263</v>
      </c>
    </row>
    <row r="33" spans="1:6" x14ac:dyDescent="0.25">
      <c r="A33" s="35">
        <v>32</v>
      </c>
      <c r="B33" s="53" t="s">
        <v>837</v>
      </c>
      <c r="C33" s="51">
        <v>0</v>
      </c>
      <c r="D33" s="52">
        <v>20000000</v>
      </c>
      <c r="E33" s="39"/>
      <c r="F33" s="39">
        <v>34</v>
      </c>
    </row>
    <row r="34" spans="1:6" x14ac:dyDescent="0.25">
      <c r="A34" s="35">
        <v>33</v>
      </c>
      <c r="B34" s="53" t="s">
        <v>834</v>
      </c>
      <c r="C34" s="51">
        <v>0</v>
      </c>
      <c r="D34" s="52">
        <v>22000000</v>
      </c>
      <c r="E34" s="39"/>
      <c r="F34" s="39">
        <v>35</v>
      </c>
    </row>
    <row r="35" spans="1:6" x14ac:dyDescent="0.25">
      <c r="A35" s="35">
        <v>34</v>
      </c>
      <c r="B35" s="53" t="s">
        <v>835</v>
      </c>
      <c r="C35" s="51">
        <v>0</v>
      </c>
      <c r="D35" s="52">
        <v>30960000</v>
      </c>
      <c r="E35" s="39"/>
      <c r="F35" s="39">
        <v>36</v>
      </c>
    </row>
    <row r="36" spans="1:6" x14ac:dyDescent="0.25">
      <c r="A36" s="35">
        <v>35</v>
      </c>
      <c r="B36" s="53" t="s">
        <v>836</v>
      </c>
      <c r="C36" s="51">
        <v>0</v>
      </c>
      <c r="D36" s="52">
        <v>100000000</v>
      </c>
      <c r="E36" s="39"/>
      <c r="F36" s="39">
        <v>26</v>
      </c>
    </row>
    <row r="37" spans="1:6" x14ac:dyDescent="0.25">
      <c r="A37" s="35">
        <v>36</v>
      </c>
      <c r="B37" s="54" t="s">
        <v>840</v>
      </c>
      <c r="C37" s="51">
        <v>0</v>
      </c>
      <c r="D37" s="52">
        <v>22020000</v>
      </c>
      <c r="E37" s="39">
        <v>15</v>
      </c>
      <c r="F37" s="39">
        <v>13</v>
      </c>
    </row>
    <row r="38" spans="1:6" x14ac:dyDescent="0.25">
      <c r="A38" s="35"/>
      <c r="B38" s="49" t="s">
        <v>830</v>
      </c>
      <c r="C38" s="45">
        <v>2131870000</v>
      </c>
      <c r="D38" s="46">
        <v>2045123536</v>
      </c>
      <c r="E38" s="35"/>
      <c r="F38" s="35"/>
    </row>
    <row r="39" spans="1:6" s="38" customFormat="1" x14ac:dyDescent="0.25">
      <c r="A39" s="41"/>
      <c r="C39" s="38">
        <f>GETPIVOTDATA("Sum of واریز",$B$1)-GETPIVOTDATA("Sum of واریز",$B$1,"یادداشت","ثبت نمی خواهد بابت برگشت از خرید خطای پوز")-GETPIVOTDATA("Sum of واریز",$B$1,"یادداشت","بابت برگشت عدم سفارش شیرینی")</f>
        <v>2095070000</v>
      </c>
      <c r="D39" s="38">
        <f>GETPIVOTDATA("Sum of برداشت",$B$1)-GETPIVOTDATA("Sum of برداشت",$B$1,"یادداشت","ثبت نمیخواهد خطای پوز")-GETPIVOTDATA("Sum of برداشت",$B$1,"یادداشت","ثبت نمی خواهد بیعانه شیرینی که برگشت خورده")</f>
        <v>2008323536</v>
      </c>
    </row>
    <row r="40" spans="1:6" s="38" customFormat="1" x14ac:dyDescent="0.25">
      <c r="B40" s="60"/>
      <c r="C40" s="61"/>
      <c r="D40" s="61"/>
      <c r="E40" s="60"/>
    </row>
    <row r="41" spans="1:6" s="38" customFormat="1" x14ac:dyDescent="0.25">
      <c r="B41" s="60"/>
      <c r="C41" s="61"/>
      <c r="D41" s="61"/>
      <c r="E41" s="60"/>
    </row>
    <row r="42" spans="1:6" s="38" customFormat="1" x14ac:dyDescent="0.25">
      <c r="B42" s="60"/>
      <c r="C42" s="61"/>
      <c r="D42" s="61"/>
      <c r="E42" s="60"/>
    </row>
    <row r="43" spans="1:6" s="38" customFormat="1" x14ac:dyDescent="0.25">
      <c r="B43" s="60"/>
      <c r="C43" s="60"/>
      <c r="D43" s="61"/>
      <c r="E43" s="60"/>
    </row>
    <row r="44" spans="1:6" s="38" customFormat="1" x14ac:dyDescent="0.25">
      <c r="B44" s="60"/>
      <c r="C44" s="60"/>
      <c r="D44" s="61"/>
      <c r="E44" s="60"/>
    </row>
    <row r="45" spans="1:6" s="38" customFormat="1" x14ac:dyDescent="0.25">
      <c r="B45" s="60"/>
      <c r="C45" s="60"/>
      <c r="D45" s="60"/>
      <c r="E45" s="60"/>
    </row>
    <row r="46" spans="1:6" s="38" customFormat="1" x14ac:dyDescent="0.25">
      <c r="B46" s="60"/>
      <c r="C46" s="60"/>
      <c r="D46" s="60"/>
      <c r="E46" s="60"/>
    </row>
    <row r="47" spans="1:6" s="38" customFormat="1" x14ac:dyDescent="0.25">
      <c r="B47" s="60"/>
      <c r="C47" s="60"/>
      <c r="D47" s="61"/>
      <c r="E47" s="60"/>
    </row>
    <row r="48" spans="1:6" s="38" customFormat="1" x14ac:dyDescent="0.25">
      <c r="B48" s="60"/>
      <c r="C48" s="60"/>
      <c r="D48" s="61"/>
      <c r="E48" s="60"/>
    </row>
    <row r="49" spans="2:5" s="38" customFormat="1" x14ac:dyDescent="0.25">
      <c r="B49" s="60"/>
      <c r="C49" s="60"/>
      <c r="D49" s="61"/>
      <c r="E49" s="60"/>
    </row>
    <row r="50" spans="2:5" s="38" customFormat="1" x14ac:dyDescent="0.25">
      <c r="B50" s="60"/>
      <c r="C50" s="60"/>
      <c r="D50" s="60"/>
      <c r="E50" s="60"/>
    </row>
    <row r="51" spans="2:5" s="38" customFormat="1" x14ac:dyDescent="0.25">
      <c r="B51" s="60"/>
      <c r="C51" s="60"/>
      <c r="D51" s="62"/>
      <c r="E51" s="60"/>
    </row>
    <row r="52" spans="2:5" s="38" customFormat="1" x14ac:dyDescent="0.25"/>
    <row r="53" spans="2:5" s="38" customFormat="1" x14ac:dyDescent="0.25"/>
    <row r="54" spans="2:5" s="38" customFormat="1" x14ac:dyDescent="0.25"/>
    <row r="55" spans="2:5" s="38" customFormat="1" x14ac:dyDescent="0.25"/>
    <row r="56" spans="2:5" s="38" customFormat="1" x14ac:dyDescent="0.25"/>
    <row r="57" spans="2:5" s="38" customFormat="1" x14ac:dyDescent="0.25"/>
    <row r="58" spans="2:5" s="38" customFormat="1" x14ac:dyDescent="0.25"/>
    <row r="59" spans="2:5" s="38" customFormat="1" x14ac:dyDescent="0.25"/>
    <row r="60" spans="2:5" s="38" customFormat="1" x14ac:dyDescent="0.25"/>
    <row r="61" spans="2:5" s="38" customFormat="1" x14ac:dyDescent="0.25"/>
    <row r="62" spans="2:5" s="38" customFormat="1" x14ac:dyDescent="0.25"/>
    <row r="63" spans="2:5" s="38" customFormat="1" x14ac:dyDescent="0.25"/>
    <row r="64" spans="2:5" s="38" customFormat="1" x14ac:dyDescent="0.25"/>
    <row r="65" s="38" customFormat="1" x14ac:dyDescent="0.25"/>
  </sheetData>
  <autoFilter ref="A1:F38"/>
  <pageMargins left="0" right="0" top="0" bottom="0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L225"/>
  <sheetViews>
    <sheetView rightToLeft="1" zoomScale="115" zoomScaleNormal="115" workbookViewId="0">
      <pane ySplit="1" topLeftCell="A3" activePane="bottomLeft" state="frozen"/>
      <selection pane="bottomLeft" activeCell="C225" sqref="C225"/>
    </sheetView>
  </sheetViews>
  <sheetFormatPr defaultColWidth="7.42578125" defaultRowHeight="15.75" x14ac:dyDescent="0.4"/>
  <cols>
    <col min="1" max="1" width="33.140625" style="1" bestFit="1" customWidth="1"/>
    <col min="2" max="2" width="11.42578125" style="1" bestFit="1" customWidth="1"/>
    <col min="3" max="3" width="9.140625" style="1" bestFit="1" customWidth="1"/>
    <col min="4" max="4" width="10.5703125" style="1" bestFit="1" customWidth="1"/>
    <col min="5" max="5" width="63.7109375" style="22" customWidth="1"/>
    <col min="6" max="6" width="12.85546875" style="1" bestFit="1" customWidth="1"/>
    <col min="7" max="7" width="18.7109375" style="1" customWidth="1"/>
    <col min="8" max="8" width="23.28515625" style="1" bestFit="1" customWidth="1"/>
    <col min="9" max="9" width="7.7109375" style="1" bestFit="1" customWidth="1"/>
    <col min="10" max="11" width="9.28515625" style="1" bestFit="1" customWidth="1"/>
    <col min="12" max="12" width="4.5703125" style="1" bestFit="1" customWidth="1"/>
    <col min="13" max="16384" width="7.42578125" style="1"/>
  </cols>
  <sheetData>
    <row r="1" spans="1:12" ht="18" customHeight="1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" t="s">
        <v>10</v>
      </c>
      <c r="L1" s="25" t="s">
        <v>11</v>
      </c>
    </row>
    <row r="2" spans="1:12" ht="24.95" customHeight="1" thickBot="1" x14ac:dyDescent="0.45">
      <c r="A2" s="32" t="s">
        <v>799</v>
      </c>
      <c r="B2" s="23">
        <v>86746464</v>
      </c>
      <c r="C2" s="24">
        <v>20000000</v>
      </c>
      <c r="D2" s="23">
        <v>0</v>
      </c>
      <c r="E2" s="8" t="s">
        <v>12</v>
      </c>
      <c r="F2" s="3"/>
      <c r="G2" s="26" t="s">
        <v>13</v>
      </c>
      <c r="H2" s="27" t="s">
        <v>14</v>
      </c>
      <c r="I2" s="26" t="s">
        <v>15</v>
      </c>
      <c r="J2" s="26" t="s">
        <v>16</v>
      </c>
      <c r="K2" s="3" t="s">
        <v>17</v>
      </c>
      <c r="L2" s="28">
        <v>1</v>
      </c>
    </row>
    <row r="3" spans="1:12" ht="24.95" customHeight="1" thickBot="1" x14ac:dyDescent="0.45">
      <c r="A3" s="5" t="s">
        <v>840</v>
      </c>
      <c r="B3" s="6">
        <v>66746464</v>
      </c>
      <c r="C3" s="6">
        <v>0</v>
      </c>
      <c r="D3" s="6">
        <v>50000</v>
      </c>
      <c r="E3" s="9" t="s">
        <v>18</v>
      </c>
      <c r="F3" s="5"/>
      <c r="G3" s="29" t="s">
        <v>19</v>
      </c>
      <c r="H3" s="31" t="s">
        <v>20</v>
      </c>
      <c r="I3" s="29" t="s">
        <v>21</v>
      </c>
      <c r="J3" s="29" t="s">
        <v>16</v>
      </c>
      <c r="K3" s="5" t="s">
        <v>17</v>
      </c>
      <c r="L3" s="30">
        <v>2</v>
      </c>
    </row>
    <row r="4" spans="1:12" ht="24.95" customHeight="1" thickBot="1" x14ac:dyDescent="0.45">
      <c r="A4" s="3" t="s">
        <v>807</v>
      </c>
      <c r="B4" s="4">
        <v>66796464</v>
      </c>
      <c r="C4" s="4">
        <v>0</v>
      </c>
      <c r="D4" s="4">
        <v>45000</v>
      </c>
      <c r="E4" s="8" t="s">
        <v>22</v>
      </c>
      <c r="F4" s="3"/>
      <c r="G4" s="26" t="s">
        <v>23</v>
      </c>
      <c r="H4" s="27" t="s">
        <v>24</v>
      </c>
      <c r="I4" s="26" t="s">
        <v>25</v>
      </c>
      <c r="J4" s="26" t="s">
        <v>16</v>
      </c>
      <c r="K4" s="3" t="s">
        <v>17</v>
      </c>
      <c r="L4" s="28">
        <v>3</v>
      </c>
    </row>
    <row r="5" spans="1:12" ht="24.95" customHeight="1" thickBot="1" x14ac:dyDescent="0.45">
      <c r="A5" s="33" t="s">
        <v>826</v>
      </c>
      <c r="B5" s="6">
        <v>66841464</v>
      </c>
      <c r="C5" s="6">
        <v>0</v>
      </c>
      <c r="D5" s="6">
        <v>29710000</v>
      </c>
      <c r="E5" s="9" t="s">
        <v>26</v>
      </c>
      <c r="F5" s="5"/>
      <c r="G5" s="29" t="s">
        <v>27</v>
      </c>
      <c r="H5" s="31" t="s">
        <v>28</v>
      </c>
      <c r="I5" s="29" t="s">
        <v>29</v>
      </c>
      <c r="J5" s="29" t="s">
        <v>16</v>
      </c>
      <c r="K5" s="5" t="s">
        <v>17</v>
      </c>
      <c r="L5" s="30">
        <v>4</v>
      </c>
    </row>
    <row r="6" spans="1:12" ht="24.95" customHeight="1" thickBot="1" x14ac:dyDescent="0.45">
      <c r="A6" s="33" t="s">
        <v>826</v>
      </c>
      <c r="B6" s="4">
        <v>96551464</v>
      </c>
      <c r="C6" s="4">
        <v>0</v>
      </c>
      <c r="D6" s="4">
        <v>15700000</v>
      </c>
      <c r="E6" s="8" t="s">
        <v>30</v>
      </c>
      <c r="F6" s="3"/>
      <c r="G6" s="26" t="s">
        <v>31</v>
      </c>
      <c r="H6" s="27" t="s">
        <v>32</v>
      </c>
      <c r="I6" s="26" t="s">
        <v>33</v>
      </c>
      <c r="J6" s="26" t="s">
        <v>16</v>
      </c>
      <c r="K6" s="3" t="s">
        <v>17</v>
      </c>
      <c r="L6" s="28">
        <v>5</v>
      </c>
    </row>
    <row r="7" spans="1:12" ht="24.95" customHeight="1" thickBot="1" x14ac:dyDescent="0.45">
      <c r="A7" s="33" t="s">
        <v>826</v>
      </c>
      <c r="B7" s="6">
        <v>112251464</v>
      </c>
      <c r="C7" s="6">
        <v>0</v>
      </c>
      <c r="D7" s="6">
        <v>2358186</v>
      </c>
      <c r="E7" s="9" t="s">
        <v>34</v>
      </c>
      <c r="F7" s="5"/>
      <c r="G7" s="29" t="s">
        <v>35</v>
      </c>
      <c r="H7" s="31" t="s">
        <v>36</v>
      </c>
      <c r="I7" s="29" t="s">
        <v>37</v>
      </c>
      <c r="J7" s="29" t="s">
        <v>38</v>
      </c>
      <c r="K7" s="5" t="s">
        <v>17</v>
      </c>
      <c r="L7" s="30">
        <v>6</v>
      </c>
    </row>
    <row r="8" spans="1:12" ht="24.95" customHeight="1" thickBot="1" x14ac:dyDescent="0.45">
      <c r="A8" s="3" t="s">
        <v>802</v>
      </c>
      <c r="B8" s="4">
        <v>114609650</v>
      </c>
      <c r="C8" s="4">
        <v>0</v>
      </c>
      <c r="D8" s="4">
        <v>805640</v>
      </c>
      <c r="E8" s="8" t="s">
        <v>39</v>
      </c>
      <c r="F8" s="3"/>
      <c r="G8" s="26" t="s">
        <v>40</v>
      </c>
      <c r="H8" s="27" t="s">
        <v>41</v>
      </c>
      <c r="I8" s="26" t="s">
        <v>42</v>
      </c>
      <c r="J8" s="26" t="s">
        <v>43</v>
      </c>
      <c r="K8" s="3" t="s">
        <v>17</v>
      </c>
      <c r="L8" s="28">
        <v>7</v>
      </c>
    </row>
    <row r="9" spans="1:12" ht="24.95" customHeight="1" thickBot="1" x14ac:dyDescent="0.45">
      <c r="A9" s="5" t="s">
        <v>802</v>
      </c>
      <c r="B9" s="6">
        <v>115415290</v>
      </c>
      <c r="C9" s="6">
        <v>0</v>
      </c>
      <c r="D9" s="6">
        <v>770000</v>
      </c>
      <c r="E9" s="9" t="s">
        <v>44</v>
      </c>
      <c r="F9" s="5"/>
      <c r="G9" s="29" t="s">
        <v>45</v>
      </c>
      <c r="H9" s="31" t="s">
        <v>46</v>
      </c>
      <c r="I9" s="29" t="s">
        <v>47</v>
      </c>
      <c r="J9" s="29" t="s">
        <v>43</v>
      </c>
      <c r="K9" s="5" t="s">
        <v>17</v>
      </c>
      <c r="L9" s="30">
        <v>8</v>
      </c>
    </row>
    <row r="10" spans="1:12" ht="24.95" customHeight="1" thickBot="1" x14ac:dyDescent="0.45">
      <c r="A10" s="3" t="s">
        <v>806</v>
      </c>
      <c r="B10" s="4">
        <v>116185290</v>
      </c>
      <c r="C10" s="4">
        <v>0</v>
      </c>
      <c r="D10" s="4">
        <v>1177000</v>
      </c>
      <c r="E10" s="8" t="s">
        <v>48</v>
      </c>
      <c r="F10" s="3"/>
      <c r="G10" s="26" t="s">
        <v>49</v>
      </c>
      <c r="H10" s="27" t="s">
        <v>50</v>
      </c>
      <c r="I10" s="26" t="s">
        <v>51</v>
      </c>
      <c r="J10" s="26" t="s">
        <v>52</v>
      </c>
      <c r="K10" s="3" t="s">
        <v>17</v>
      </c>
      <c r="L10" s="28">
        <v>9</v>
      </c>
    </row>
    <row r="11" spans="1:12" ht="24.95" customHeight="1" thickBot="1" x14ac:dyDescent="0.45">
      <c r="A11" s="5" t="s">
        <v>802</v>
      </c>
      <c r="B11" s="6">
        <v>117362290</v>
      </c>
      <c r="C11" s="6">
        <v>0</v>
      </c>
      <c r="D11" s="6">
        <v>12600000</v>
      </c>
      <c r="E11" s="9" t="s">
        <v>53</v>
      </c>
      <c r="F11" s="5"/>
      <c r="G11" s="29" t="s">
        <v>54</v>
      </c>
      <c r="H11" s="31" t="s">
        <v>55</v>
      </c>
      <c r="I11" s="29" t="s">
        <v>56</v>
      </c>
      <c r="J11" s="29" t="s">
        <v>52</v>
      </c>
      <c r="K11" s="5" t="s">
        <v>17</v>
      </c>
      <c r="L11" s="30">
        <v>10</v>
      </c>
    </row>
    <row r="12" spans="1:12" ht="24.95" customHeight="1" thickBot="1" x14ac:dyDescent="0.45">
      <c r="A12" s="3" t="s">
        <v>840</v>
      </c>
      <c r="B12" s="4">
        <v>129962290</v>
      </c>
      <c r="C12" s="4">
        <v>0</v>
      </c>
      <c r="D12" s="4">
        <v>600000</v>
      </c>
      <c r="E12" s="8" t="s">
        <v>57</v>
      </c>
      <c r="F12" s="3"/>
      <c r="G12" s="26" t="s">
        <v>58</v>
      </c>
      <c r="H12" s="27" t="s">
        <v>59</v>
      </c>
      <c r="I12" s="26" t="s">
        <v>60</v>
      </c>
      <c r="J12" s="26" t="s">
        <v>52</v>
      </c>
      <c r="K12" s="3" t="s">
        <v>17</v>
      </c>
      <c r="L12" s="28">
        <v>11</v>
      </c>
    </row>
    <row r="13" spans="1:12" ht="24.95" customHeight="1" thickBot="1" x14ac:dyDescent="0.45">
      <c r="A13" s="5" t="s">
        <v>803</v>
      </c>
      <c r="B13" s="6">
        <v>130562290</v>
      </c>
      <c r="C13" s="6">
        <v>0</v>
      </c>
      <c r="D13" s="6">
        <v>3200000</v>
      </c>
      <c r="E13" s="9" t="s">
        <v>61</v>
      </c>
      <c r="F13" s="5"/>
      <c r="G13" s="29" t="s">
        <v>62</v>
      </c>
      <c r="H13" s="31" t="s">
        <v>63</v>
      </c>
      <c r="I13" s="29" t="s">
        <v>64</v>
      </c>
      <c r="J13" s="29" t="s">
        <v>65</v>
      </c>
      <c r="K13" s="5" t="s">
        <v>17</v>
      </c>
      <c r="L13" s="30">
        <v>12</v>
      </c>
    </row>
    <row r="14" spans="1:12" ht="24.95" customHeight="1" thickBot="1" x14ac:dyDescent="0.45">
      <c r="A14" s="3" t="s">
        <v>840</v>
      </c>
      <c r="B14" s="4">
        <v>133762290</v>
      </c>
      <c r="C14" s="4">
        <v>0</v>
      </c>
      <c r="D14" s="4">
        <v>2910000</v>
      </c>
      <c r="E14" s="8" t="s">
        <v>66</v>
      </c>
      <c r="F14" s="3"/>
      <c r="G14" s="26" t="s">
        <v>67</v>
      </c>
      <c r="H14" s="27" t="s">
        <v>68</v>
      </c>
      <c r="I14" s="26" t="s">
        <v>69</v>
      </c>
      <c r="J14" s="26" t="s">
        <v>65</v>
      </c>
      <c r="K14" s="3" t="s">
        <v>17</v>
      </c>
      <c r="L14" s="28">
        <v>13</v>
      </c>
    </row>
    <row r="15" spans="1:12" ht="24.95" customHeight="1" thickBot="1" x14ac:dyDescent="0.45">
      <c r="A15" s="5" t="s">
        <v>840</v>
      </c>
      <c r="B15" s="6">
        <v>136672290</v>
      </c>
      <c r="C15" s="6">
        <v>0</v>
      </c>
      <c r="D15" s="6">
        <v>2960000</v>
      </c>
      <c r="E15" s="9" t="s">
        <v>70</v>
      </c>
      <c r="F15" s="5"/>
      <c r="G15" s="29" t="s">
        <v>71</v>
      </c>
      <c r="H15" s="31" t="s">
        <v>72</v>
      </c>
      <c r="I15" s="29" t="s">
        <v>73</v>
      </c>
      <c r="J15" s="29" t="s">
        <v>74</v>
      </c>
      <c r="K15" s="5" t="s">
        <v>17</v>
      </c>
      <c r="L15" s="30">
        <v>14</v>
      </c>
    </row>
    <row r="16" spans="1:12" ht="24.95" customHeight="1" thickBot="1" x14ac:dyDescent="0.45">
      <c r="A16" s="3" t="s">
        <v>802</v>
      </c>
      <c r="B16" s="4">
        <v>139632290</v>
      </c>
      <c r="C16" s="4">
        <v>0</v>
      </c>
      <c r="D16" s="4">
        <v>7190000</v>
      </c>
      <c r="E16" s="8" t="s">
        <v>75</v>
      </c>
      <c r="F16" s="3"/>
      <c r="G16" s="26" t="s">
        <v>76</v>
      </c>
      <c r="H16" s="27" t="s">
        <v>77</v>
      </c>
      <c r="I16" s="26" t="s">
        <v>78</v>
      </c>
      <c r="J16" s="26" t="s">
        <v>74</v>
      </c>
      <c r="K16" s="3" t="s">
        <v>17</v>
      </c>
      <c r="L16" s="28">
        <v>15</v>
      </c>
    </row>
    <row r="17" spans="1:12" ht="24.95" customHeight="1" thickBot="1" x14ac:dyDescent="0.45">
      <c r="A17" s="5" t="s">
        <v>800</v>
      </c>
      <c r="B17" s="6">
        <v>146822290</v>
      </c>
      <c r="C17" s="6">
        <v>0</v>
      </c>
      <c r="D17" s="6">
        <v>7200</v>
      </c>
      <c r="E17" s="10" t="s">
        <v>79</v>
      </c>
      <c r="F17" s="5"/>
      <c r="G17" s="29" t="s">
        <v>76</v>
      </c>
      <c r="H17" s="31" t="s">
        <v>77</v>
      </c>
      <c r="I17" s="29" t="s">
        <v>78</v>
      </c>
      <c r="J17" s="29" t="s">
        <v>74</v>
      </c>
      <c r="K17" s="5" t="s">
        <v>17</v>
      </c>
      <c r="L17" s="30">
        <v>16</v>
      </c>
    </row>
    <row r="18" spans="1:12" ht="24.95" customHeight="1" thickBot="1" x14ac:dyDescent="0.45">
      <c r="A18" s="3" t="s">
        <v>840</v>
      </c>
      <c r="B18" s="4">
        <v>146829490</v>
      </c>
      <c r="C18" s="4">
        <v>0</v>
      </c>
      <c r="D18" s="4">
        <v>2400000</v>
      </c>
      <c r="E18" s="8" t="s">
        <v>80</v>
      </c>
      <c r="F18" s="3"/>
      <c r="G18" s="26" t="s">
        <v>81</v>
      </c>
      <c r="H18" s="27" t="s">
        <v>82</v>
      </c>
      <c r="I18" s="26" t="s">
        <v>83</v>
      </c>
      <c r="J18" s="26" t="s">
        <v>74</v>
      </c>
      <c r="K18" s="3" t="s">
        <v>17</v>
      </c>
      <c r="L18" s="28">
        <v>17</v>
      </c>
    </row>
    <row r="19" spans="1:12" ht="24.95" customHeight="1" thickBot="1" x14ac:dyDescent="0.45">
      <c r="A19" s="5" t="s">
        <v>840</v>
      </c>
      <c r="B19" s="6">
        <v>149229490</v>
      </c>
      <c r="C19" s="6">
        <v>0</v>
      </c>
      <c r="D19" s="6">
        <v>1100000</v>
      </c>
      <c r="E19" s="9" t="s">
        <v>84</v>
      </c>
      <c r="F19" s="5"/>
      <c r="G19" s="29" t="s">
        <v>85</v>
      </c>
      <c r="H19" s="31" t="s">
        <v>86</v>
      </c>
      <c r="I19" s="29" t="s">
        <v>87</v>
      </c>
      <c r="J19" s="29" t="s">
        <v>74</v>
      </c>
      <c r="K19" s="5" t="s">
        <v>17</v>
      </c>
      <c r="L19" s="30">
        <v>18</v>
      </c>
    </row>
    <row r="20" spans="1:12" ht="24.95" customHeight="1" thickBot="1" x14ac:dyDescent="0.45">
      <c r="A20" s="3" t="s">
        <v>802</v>
      </c>
      <c r="B20" s="4">
        <v>150329490</v>
      </c>
      <c r="C20" s="4">
        <v>0</v>
      </c>
      <c r="D20" s="4">
        <v>17190000</v>
      </c>
      <c r="E20" s="8" t="s">
        <v>88</v>
      </c>
      <c r="F20" s="3"/>
      <c r="G20" s="26" t="s">
        <v>89</v>
      </c>
      <c r="H20" s="27" t="s">
        <v>90</v>
      </c>
      <c r="I20" s="26" t="s">
        <v>91</v>
      </c>
      <c r="J20" s="26" t="s">
        <v>92</v>
      </c>
      <c r="K20" s="3" t="s">
        <v>17</v>
      </c>
      <c r="L20" s="28">
        <v>19</v>
      </c>
    </row>
    <row r="21" spans="1:12" ht="24.95" customHeight="1" thickBot="1" x14ac:dyDescent="0.45">
      <c r="A21" s="5" t="s">
        <v>814</v>
      </c>
      <c r="B21" s="6">
        <v>167519490</v>
      </c>
      <c r="C21" s="6">
        <v>0</v>
      </c>
      <c r="D21" s="6">
        <v>18800000</v>
      </c>
      <c r="E21" s="9" t="s">
        <v>93</v>
      </c>
      <c r="F21" s="5"/>
      <c r="G21" s="29" t="s">
        <v>94</v>
      </c>
      <c r="H21" s="31" t="s">
        <v>95</v>
      </c>
      <c r="I21" s="29" t="s">
        <v>96</v>
      </c>
      <c r="J21" s="29" t="s">
        <v>97</v>
      </c>
      <c r="K21" s="5" t="s">
        <v>17</v>
      </c>
      <c r="L21" s="30">
        <v>20</v>
      </c>
    </row>
    <row r="22" spans="1:12" ht="24.95" customHeight="1" thickBot="1" x14ac:dyDescent="0.45">
      <c r="A22" s="3" t="s">
        <v>800</v>
      </c>
      <c r="B22" s="4">
        <v>186319490</v>
      </c>
      <c r="C22" s="4">
        <v>0</v>
      </c>
      <c r="D22" s="4">
        <v>10000</v>
      </c>
      <c r="E22" s="11" t="s">
        <v>79</v>
      </c>
      <c r="F22" s="3"/>
      <c r="G22" s="26" t="s">
        <v>94</v>
      </c>
      <c r="H22" s="27" t="s">
        <v>95</v>
      </c>
      <c r="I22" s="26" t="s">
        <v>96</v>
      </c>
      <c r="J22" s="26" t="s">
        <v>97</v>
      </c>
      <c r="K22" s="3" t="s">
        <v>17</v>
      </c>
      <c r="L22" s="28">
        <v>21</v>
      </c>
    </row>
    <row r="23" spans="1:12" ht="24.95" customHeight="1" thickBot="1" x14ac:dyDescent="0.45">
      <c r="A23" s="5" t="s">
        <v>802</v>
      </c>
      <c r="B23" s="6">
        <v>186329490</v>
      </c>
      <c r="C23" s="6">
        <v>0</v>
      </c>
      <c r="D23" s="6">
        <v>1090000</v>
      </c>
      <c r="E23" s="9" t="s">
        <v>98</v>
      </c>
      <c r="F23" s="5"/>
      <c r="G23" s="29" t="s">
        <v>99</v>
      </c>
      <c r="H23" s="31" t="s">
        <v>100</v>
      </c>
      <c r="I23" s="29" t="s">
        <v>101</v>
      </c>
      <c r="J23" s="29" t="s">
        <v>102</v>
      </c>
      <c r="K23" s="5" t="s">
        <v>17</v>
      </c>
      <c r="L23" s="30">
        <v>22</v>
      </c>
    </row>
    <row r="24" spans="1:12" ht="24.95" customHeight="1" thickBot="1" x14ac:dyDescent="0.45">
      <c r="A24" s="3" t="s">
        <v>825</v>
      </c>
      <c r="B24" s="4">
        <v>187419490</v>
      </c>
      <c r="C24" s="4">
        <v>0</v>
      </c>
      <c r="D24" s="4">
        <v>37280000</v>
      </c>
      <c r="E24" s="8" t="s">
        <v>103</v>
      </c>
      <c r="F24" s="3"/>
      <c r="G24" s="26" t="s">
        <v>104</v>
      </c>
      <c r="H24" s="27" t="s">
        <v>105</v>
      </c>
      <c r="I24" s="26" t="s">
        <v>106</v>
      </c>
      <c r="J24" s="26" t="s">
        <v>107</v>
      </c>
      <c r="K24" s="3" t="s">
        <v>17</v>
      </c>
      <c r="L24" s="28">
        <v>23</v>
      </c>
    </row>
    <row r="25" spans="1:12" ht="24.95" customHeight="1" thickBot="1" x14ac:dyDescent="0.45">
      <c r="A25" s="5" t="s">
        <v>825</v>
      </c>
      <c r="B25" s="6">
        <v>224699490</v>
      </c>
      <c r="C25" s="6">
        <v>0</v>
      </c>
      <c r="D25" s="6">
        <v>1790000</v>
      </c>
      <c r="E25" s="9" t="s">
        <v>108</v>
      </c>
      <c r="F25" s="5"/>
      <c r="G25" s="29" t="s">
        <v>109</v>
      </c>
      <c r="H25" s="31" t="s">
        <v>110</v>
      </c>
      <c r="I25" s="29" t="s">
        <v>111</v>
      </c>
      <c r="J25" s="29" t="s">
        <v>107</v>
      </c>
      <c r="K25" s="5" t="s">
        <v>17</v>
      </c>
      <c r="L25" s="30">
        <v>24</v>
      </c>
    </row>
    <row r="26" spans="1:12" ht="24.95" customHeight="1" thickBot="1" x14ac:dyDescent="0.45">
      <c r="A26" s="3" t="s">
        <v>825</v>
      </c>
      <c r="B26" s="4">
        <v>226489490</v>
      </c>
      <c r="C26" s="4">
        <v>0</v>
      </c>
      <c r="D26" s="4">
        <v>3000000</v>
      </c>
      <c r="E26" s="8" t="s">
        <v>112</v>
      </c>
      <c r="F26" s="3"/>
      <c r="G26" s="26" t="s">
        <v>113</v>
      </c>
      <c r="H26" s="27" t="s">
        <v>114</v>
      </c>
      <c r="I26" s="26" t="s">
        <v>115</v>
      </c>
      <c r="J26" s="26" t="s">
        <v>107</v>
      </c>
      <c r="K26" s="3" t="s">
        <v>17</v>
      </c>
      <c r="L26" s="28">
        <v>25</v>
      </c>
    </row>
    <row r="27" spans="1:12" ht="24.95" customHeight="1" thickBot="1" x14ac:dyDescent="0.45">
      <c r="A27" s="32" t="s">
        <v>822</v>
      </c>
      <c r="B27" s="23">
        <v>229489490</v>
      </c>
      <c r="C27" s="24">
        <v>16800000</v>
      </c>
      <c r="D27" s="23">
        <v>0</v>
      </c>
      <c r="E27" s="9" t="s">
        <v>116</v>
      </c>
      <c r="F27" s="5"/>
      <c r="G27" s="31" t="s">
        <v>117</v>
      </c>
      <c r="H27" s="31" t="s">
        <v>118</v>
      </c>
      <c r="I27" s="29" t="s">
        <v>119</v>
      </c>
      <c r="J27" s="29" t="s">
        <v>107</v>
      </c>
      <c r="K27" s="5" t="s">
        <v>17</v>
      </c>
      <c r="L27" s="30">
        <v>26</v>
      </c>
    </row>
    <row r="28" spans="1:12" ht="24.95" customHeight="1" thickBot="1" x14ac:dyDescent="0.45">
      <c r="A28" s="33" t="s">
        <v>823</v>
      </c>
      <c r="B28" s="23">
        <v>212689490</v>
      </c>
      <c r="C28" s="23">
        <v>0</v>
      </c>
      <c r="D28" s="23">
        <v>16800000</v>
      </c>
      <c r="E28" s="8" t="s">
        <v>120</v>
      </c>
      <c r="F28" s="3"/>
      <c r="G28" s="26" t="s">
        <v>121</v>
      </c>
      <c r="H28" s="27" t="s">
        <v>122</v>
      </c>
      <c r="I28" s="26" t="s">
        <v>123</v>
      </c>
      <c r="J28" s="26" t="s">
        <v>107</v>
      </c>
      <c r="K28" s="3" t="s">
        <v>17</v>
      </c>
      <c r="L28" s="28">
        <v>27</v>
      </c>
    </row>
    <row r="29" spans="1:12" ht="24.95" customHeight="1" thickBot="1" x14ac:dyDescent="0.45">
      <c r="A29" s="5" t="s">
        <v>800</v>
      </c>
      <c r="B29" s="6">
        <v>229489490</v>
      </c>
      <c r="C29" s="6">
        <v>0</v>
      </c>
      <c r="D29" s="6">
        <v>10000</v>
      </c>
      <c r="E29" s="10" t="s">
        <v>79</v>
      </c>
      <c r="F29" s="5"/>
      <c r="G29" s="29" t="s">
        <v>121</v>
      </c>
      <c r="H29" s="31" t="s">
        <v>122</v>
      </c>
      <c r="I29" s="29" t="s">
        <v>123</v>
      </c>
      <c r="J29" s="29" t="s">
        <v>107</v>
      </c>
      <c r="K29" s="5" t="s">
        <v>17</v>
      </c>
      <c r="L29" s="30">
        <v>28</v>
      </c>
    </row>
    <row r="30" spans="1:12" ht="24.95" customHeight="1" thickBot="1" x14ac:dyDescent="0.45">
      <c r="A30" s="3" t="s">
        <v>807</v>
      </c>
      <c r="B30" s="4">
        <v>229499490</v>
      </c>
      <c r="C30" s="4">
        <v>0</v>
      </c>
      <c r="D30" s="4">
        <v>16800000</v>
      </c>
      <c r="E30" s="8" t="s">
        <v>124</v>
      </c>
      <c r="F30" s="3"/>
      <c r="G30" s="26" t="s">
        <v>125</v>
      </c>
      <c r="H30" s="27" t="s">
        <v>126</v>
      </c>
      <c r="I30" s="26" t="s">
        <v>127</v>
      </c>
      <c r="J30" s="26" t="s">
        <v>107</v>
      </c>
      <c r="K30" s="3" t="s">
        <v>17</v>
      </c>
      <c r="L30" s="28">
        <v>29</v>
      </c>
    </row>
    <row r="31" spans="1:12" ht="24.95" customHeight="1" thickBot="1" x14ac:dyDescent="0.45">
      <c r="A31" s="5" t="s">
        <v>807</v>
      </c>
      <c r="B31" s="6">
        <v>246299490</v>
      </c>
      <c r="C31" s="6">
        <v>0</v>
      </c>
      <c r="D31" s="6">
        <v>1098000</v>
      </c>
      <c r="E31" s="9" t="s">
        <v>128</v>
      </c>
      <c r="F31" s="5"/>
      <c r="G31" s="29" t="s">
        <v>129</v>
      </c>
      <c r="H31" s="31" t="s">
        <v>130</v>
      </c>
      <c r="I31" s="29" t="s">
        <v>131</v>
      </c>
      <c r="J31" s="29" t="s">
        <v>107</v>
      </c>
      <c r="K31" s="5" t="s">
        <v>17</v>
      </c>
      <c r="L31" s="30">
        <v>30</v>
      </c>
    </row>
    <row r="32" spans="1:12" ht="24.95" customHeight="1" thickBot="1" x14ac:dyDescent="0.45">
      <c r="A32" s="33" t="s">
        <v>824</v>
      </c>
      <c r="B32" s="23">
        <v>247397490</v>
      </c>
      <c r="C32" s="23">
        <v>0</v>
      </c>
      <c r="D32" s="23">
        <v>20000000</v>
      </c>
      <c r="E32" s="8" t="s">
        <v>132</v>
      </c>
      <c r="F32" s="3"/>
      <c r="G32" s="26" t="s">
        <v>133</v>
      </c>
      <c r="H32" s="27" t="s">
        <v>134</v>
      </c>
      <c r="I32" s="26" t="s">
        <v>135</v>
      </c>
      <c r="J32" s="26" t="s">
        <v>107</v>
      </c>
      <c r="K32" s="3" t="s">
        <v>17</v>
      </c>
      <c r="L32" s="28">
        <v>31</v>
      </c>
    </row>
    <row r="33" spans="1:12" ht="24.95" customHeight="1" thickBot="1" x14ac:dyDescent="0.45">
      <c r="A33" s="5" t="s">
        <v>802</v>
      </c>
      <c r="B33" s="6">
        <v>267397490</v>
      </c>
      <c r="C33" s="6">
        <v>0</v>
      </c>
      <c r="D33" s="6">
        <v>12690000</v>
      </c>
      <c r="E33" s="9" t="s">
        <v>136</v>
      </c>
      <c r="F33" s="5"/>
      <c r="G33" s="29" t="s">
        <v>137</v>
      </c>
      <c r="H33" s="31" t="s">
        <v>138</v>
      </c>
      <c r="I33" s="29" t="s">
        <v>139</v>
      </c>
      <c r="J33" s="29" t="s">
        <v>140</v>
      </c>
      <c r="K33" s="5" t="s">
        <v>17</v>
      </c>
      <c r="L33" s="30">
        <v>32</v>
      </c>
    </row>
    <row r="34" spans="1:12" ht="24.95" customHeight="1" thickBot="1" x14ac:dyDescent="0.45">
      <c r="A34" s="3" t="s">
        <v>800</v>
      </c>
      <c r="B34" s="4">
        <v>280087490</v>
      </c>
      <c r="C34" s="4">
        <v>0</v>
      </c>
      <c r="D34" s="4">
        <v>10000</v>
      </c>
      <c r="E34" s="11" t="s">
        <v>79</v>
      </c>
      <c r="F34" s="3"/>
      <c r="G34" s="26" t="s">
        <v>137</v>
      </c>
      <c r="H34" s="27" t="s">
        <v>138</v>
      </c>
      <c r="I34" s="26" t="s">
        <v>139</v>
      </c>
      <c r="J34" s="26" t="s">
        <v>140</v>
      </c>
      <c r="K34" s="3" t="s">
        <v>17</v>
      </c>
      <c r="L34" s="28">
        <v>33</v>
      </c>
    </row>
    <row r="35" spans="1:12" ht="24.95" customHeight="1" thickBot="1" x14ac:dyDescent="0.45">
      <c r="A35" s="5" t="s">
        <v>807</v>
      </c>
      <c r="B35" s="6">
        <v>280097490</v>
      </c>
      <c r="C35" s="6">
        <v>0</v>
      </c>
      <c r="D35" s="6">
        <v>150000</v>
      </c>
      <c r="E35" s="9" t="s">
        <v>141</v>
      </c>
      <c r="F35" s="5"/>
      <c r="G35" s="29" t="s">
        <v>142</v>
      </c>
      <c r="H35" s="31" t="s">
        <v>143</v>
      </c>
      <c r="I35" s="29" t="s">
        <v>144</v>
      </c>
      <c r="J35" s="29" t="s">
        <v>145</v>
      </c>
      <c r="K35" s="5" t="s">
        <v>17</v>
      </c>
      <c r="L35" s="30">
        <v>34</v>
      </c>
    </row>
    <row r="36" spans="1:12" ht="24.95" customHeight="1" thickBot="1" x14ac:dyDescent="0.45">
      <c r="A36" s="3" t="s">
        <v>807</v>
      </c>
      <c r="B36" s="4">
        <v>280247490</v>
      </c>
      <c r="C36" s="4">
        <v>0</v>
      </c>
      <c r="D36" s="4">
        <v>800000</v>
      </c>
      <c r="E36" s="8" t="s">
        <v>146</v>
      </c>
      <c r="F36" s="3"/>
      <c r="G36" s="26" t="s">
        <v>147</v>
      </c>
      <c r="H36" s="27" t="s">
        <v>148</v>
      </c>
      <c r="I36" s="26" t="s">
        <v>149</v>
      </c>
      <c r="J36" s="26" t="s">
        <v>150</v>
      </c>
      <c r="K36" s="3" t="s">
        <v>17</v>
      </c>
      <c r="L36" s="28">
        <v>35</v>
      </c>
    </row>
    <row r="37" spans="1:12" ht="24.95" customHeight="1" thickBot="1" x14ac:dyDescent="0.45">
      <c r="A37" s="5" t="s">
        <v>807</v>
      </c>
      <c r="B37" s="6">
        <v>281047490</v>
      </c>
      <c r="C37" s="6">
        <v>0</v>
      </c>
      <c r="D37" s="6">
        <v>4900000</v>
      </c>
      <c r="E37" s="9" t="s">
        <v>151</v>
      </c>
      <c r="F37" s="5"/>
      <c r="G37" s="29" t="s">
        <v>152</v>
      </c>
      <c r="H37" s="31" t="s">
        <v>153</v>
      </c>
      <c r="I37" s="29" t="s">
        <v>154</v>
      </c>
      <c r="J37" s="29" t="s">
        <v>150</v>
      </c>
      <c r="K37" s="5" t="s">
        <v>17</v>
      </c>
      <c r="L37" s="30">
        <v>36</v>
      </c>
    </row>
    <row r="38" spans="1:12" ht="24.95" customHeight="1" thickBot="1" x14ac:dyDescent="0.45">
      <c r="A38" s="3" t="s">
        <v>840</v>
      </c>
      <c r="B38" s="4">
        <v>285947490</v>
      </c>
      <c r="C38" s="4">
        <v>0</v>
      </c>
      <c r="D38" s="4">
        <v>400000</v>
      </c>
      <c r="E38" s="8" t="s">
        <v>155</v>
      </c>
      <c r="F38" s="3"/>
      <c r="G38" s="26" t="s">
        <v>156</v>
      </c>
      <c r="H38" s="27" t="s">
        <v>157</v>
      </c>
      <c r="I38" s="26" t="s">
        <v>158</v>
      </c>
      <c r="J38" s="26" t="s">
        <v>159</v>
      </c>
      <c r="K38" s="3" t="s">
        <v>17</v>
      </c>
      <c r="L38" s="28">
        <v>37</v>
      </c>
    </row>
    <row r="39" spans="1:12" ht="24.95" customHeight="1" thickBot="1" x14ac:dyDescent="0.45">
      <c r="A39" s="5" t="s">
        <v>802</v>
      </c>
      <c r="B39" s="6">
        <v>286347490</v>
      </c>
      <c r="C39" s="6">
        <v>0</v>
      </c>
      <c r="D39" s="6">
        <v>6980000</v>
      </c>
      <c r="E39" s="9" t="s">
        <v>160</v>
      </c>
      <c r="F39" s="5"/>
      <c r="G39" s="29" t="s">
        <v>161</v>
      </c>
      <c r="H39" s="31" t="s">
        <v>162</v>
      </c>
      <c r="I39" s="29" t="s">
        <v>163</v>
      </c>
      <c r="J39" s="29" t="s">
        <v>164</v>
      </c>
      <c r="K39" s="5" t="s">
        <v>17</v>
      </c>
      <c r="L39" s="30">
        <v>38</v>
      </c>
    </row>
    <row r="40" spans="1:12" ht="24.95" customHeight="1" thickBot="1" x14ac:dyDescent="0.45">
      <c r="A40" s="3" t="s">
        <v>800</v>
      </c>
      <c r="B40" s="4">
        <v>293327490</v>
      </c>
      <c r="C40" s="4">
        <v>0</v>
      </c>
      <c r="D40" s="4">
        <v>7200</v>
      </c>
      <c r="E40" s="11" t="s">
        <v>79</v>
      </c>
      <c r="F40" s="3"/>
      <c r="G40" s="26" t="s">
        <v>161</v>
      </c>
      <c r="H40" s="27" t="s">
        <v>162</v>
      </c>
      <c r="I40" s="26" t="s">
        <v>163</v>
      </c>
      <c r="J40" s="26" t="s">
        <v>164</v>
      </c>
      <c r="K40" s="3" t="s">
        <v>17</v>
      </c>
      <c r="L40" s="28">
        <v>39</v>
      </c>
    </row>
    <row r="41" spans="1:12" ht="24.95" customHeight="1" thickBot="1" x14ac:dyDescent="0.45">
      <c r="A41" s="5" t="s">
        <v>807</v>
      </c>
      <c r="B41" s="6">
        <v>293334690</v>
      </c>
      <c r="C41" s="6">
        <v>0</v>
      </c>
      <c r="D41" s="6">
        <v>700000</v>
      </c>
      <c r="E41" s="9" t="s">
        <v>165</v>
      </c>
      <c r="F41" s="5"/>
      <c r="G41" s="29" t="s">
        <v>166</v>
      </c>
      <c r="H41" s="31" t="s">
        <v>167</v>
      </c>
      <c r="I41" s="29" t="s">
        <v>168</v>
      </c>
      <c r="J41" s="29" t="s">
        <v>169</v>
      </c>
      <c r="K41" s="5" t="s">
        <v>17</v>
      </c>
      <c r="L41" s="30">
        <v>40</v>
      </c>
    </row>
    <row r="42" spans="1:12" ht="24.95" customHeight="1" thickBot="1" x14ac:dyDescent="0.45">
      <c r="A42" s="3" t="s">
        <v>807</v>
      </c>
      <c r="B42" s="4">
        <v>294034690</v>
      </c>
      <c r="C42" s="4">
        <v>0</v>
      </c>
      <c r="D42" s="4">
        <v>2120000</v>
      </c>
      <c r="E42" s="8" t="s">
        <v>170</v>
      </c>
      <c r="F42" s="3"/>
      <c r="G42" s="26" t="s">
        <v>171</v>
      </c>
      <c r="H42" s="27" t="s">
        <v>172</v>
      </c>
      <c r="I42" s="26" t="s">
        <v>173</v>
      </c>
      <c r="J42" s="26" t="s">
        <v>169</v>
      </c>
      <c r="K42" s="3" t="s">
        <v>17</v>
      </c>
      <c r="L42" s="28">
        <v>41</v>
      </c>
    </row>
    <row r="43" spans="1:12" ht="24.95" customHeight="1" thickBot="1" x14ac:dyDescent="0.45">
      <c r="A43" s="5" t="s">
        <v>807</v>
      </c>
      <c r="B43" s="6">
        <v>296154690</v>
      </c>
      <c r="C43" s="6">
        <v>0</v>
      </c>
      <c r="D43" s="6">
        <v>820000</v>
      </c>
      <c r="E43" s="9" t="s">
        <v>174</v>
      </c>
      <c r="F43" s="5"/>
      <c r="G43" s="29" t="s">
        <v>175</v>
      </c>
      <c r="H43" s="31" t="s">
        <v>176</v>
      </c>
      <c r="I43" s="29" t="s">
        <v>177</v>
      </c>
      <c r="J43" s="29" t="s">
        <v>169</v>
      </c>
      <c r="K43" s="5" t="s">
        <v>17</v>
      </c>
      <c r="L43" s="30">
        <v>42</v>
      </c>
    </row>
    <row r="44" spans="1:12" ht="24.95" customHeight="1" thickBot="1" x14ac:dyDescent="0.45">
      <c r="A44" s="3" t="s">
        <v>802</v>
      </c>
      <c r="B44" s="4">
        <v>296974690</v>
      </c>
      <c r="C44" s="4">
        <v>0</v>
      </c>
      <c r="D44" s="4">
        <v>771540</v>
      </c>
      <c r="E44" s="8" t="s">
        <v>178</v>
      </c>
      <c r="F44" s="3"/>
      <c r="G44" s="26" t="s">
        <v>179</v>
      </c>
      <c r="H44" s="27" t="s">
        <v>180</v>
      </c>
      <c r="I44" s="26" t="s">
        <v>181</v>
      </c>
      <c r="J44" s="26" t="s">
        <v>169</v>
      </c>
      <c r="K44" s="3" t="s">
        <v>17</v>
      </c>
      <c r="L44" s="28">
        <v>43</v>
      </c>
    </row>
    <row r="45" spans="1:12" ht="24.95" customHeight="1" thickBot="1" x14ac:dyDescent="0.45">
      <c r="A45" s="33" t="s">
        <v>2</v>
      </c>
      <c r="B45" s="6">
        <v>297746230</v>
      </c>
      <c r="C45" s="23">
        <v>49000000</v>
      </c>
      <c r="D45" s="6">
        <v>0</v>
      </c>
      <c r="E45" s="9" t="s">
        <v>182</v>
      </c>
      <c r="F45" s="5">
        <v>158</v>
      </c>
      <c r="G45" s="29" t="s">
        <v>183</v>
      </c>
      <c r="H45" s="31" t="s">
        <v>184</v>
      </c>
      <c r="I45" s="29" t="s">
        <v>185</v>
      </c>
      <c r="J45" s="29" t="s">
        <v>186</v>
      </c>
      <c r="K45" s="5" t="s">
        <v>17</v>
      </c>
      <c r="L45" s="30">
        <v>44</v>
      </c>
    </row>
    <row r="46" spans="1:12" ht="24.95" customHeight="1" thickBot="1" x14ac:dyDescent="0.45">
      <c r="A46" s="34" t="s">
        <v>821</v>
      </c>
      <c r="B46" s="4">
        <v>248746230</v>
      </c>
      <c r="C46" s="4">
        <v>0</v>
      </c>
      <c r="D46" s="4">
        <v>23000000</v>
      </c>
      <c r="E46" s="8" t="s">
        <v>187</v>
      </c>
      <c r="F46" s="3"/>
      <c r="G46" s="26" t="s">
        <v>188</v>
      </c>
      <c r="H46" s="27" t="s">
        <v>189</v>
      </c>
      <c r="I46" s="26" t="s">
        <v>190</v>
      </c>
      <c r="J46" s="26" t="s">
        <v>191</v>
      </c>
      <c r="K46" s="3" t="s">
        <v>17</v>
      </c>
      <c r="L46" s="28">
        <v>45</v>
      </c>
    </row>
    <row r="47" spans="1:12" ht="24.95" customHeight="1" thickBot="1" x14ac:dyDescent="0.45">
      <c r="A47" s="33" t="s">
        <v>812</v>
      </c>
      <c r="B47" s="6">
        <v>271746230</v>
      </c>
      <c r="C47" s="6">
        <v>0</v>
      </c>
      <c r="D47" s="23">
        <v>20400000</v>
      </c>
      <c r="E47" s="9" t="s">
        <v>192</v>
      </c>
      <c r="F47" s="5"/>
      <c r="G47" s="29" t="s">
        <v>193</v>
      </c>
      <c r="H47" s="31" t="s">
        <v>194</v>
      </c>
      <c r="I47" s="29" t="s">
        <v>195</v>
      </c>
      <c r="J47" s="29" t="s">
        <v>191</v>
      </c>
      <c r="K47" s="5" t="s">
        <v>17</v>
      </c>
      <c r="L47" s="30">
        <v>46</v>
      </c>
    </row>
    <row r="48" spans="1:12" ht="24.95" customHeight="1" thickBot="1" x14ac:dyDescent="0.45">
      <c r="A48" s="3" t="s">
        <v>800</v>
      </c>
      <c r="B48" s="4">
        <v>292146230</v>
      </c>
      <c r="C48" s="4">
        <v>0</v>
      </c>
      <c r="D48" s="4">
        <v>12800</v>
      </c>
      <c r="E48" s="11" t="s">
        <v>79</v>
      </c>
      <c r="F48" s="3"/>
      <c r="G48" s="26" t="s">
        <v>193</v>
      </c>
      <c r="H48" s="27" t="s">
        <v>194</v>
      </c>
      <c r="I48" s="26" t="s">
        <v>195</v>
      </c>
      <c r="J48" s="26" t="s">
        <v>191</v>
      </c>
      <c r="K48" s="3" t="s">
        <v>17</v>
      </c>
      <c r="L48" s="28">
        <v>47</v>
      </c>
    </row>
    <row r="49" spans="1:12" ht="24.95" customHeight="1" thickBot="1" x14ac:dyDescent="0.45">
      <c r="A49" s="33" t="s">
        <v>2</v>
      </c>
      <c r="B49" s="6">
        <v>292159030</v>
      </c>
      <c r="C49" s="23">
        <v>69600000</v>
      </c>
      <c r="D49" s="6">
        <v>0</v>
      </c>
      <c r="E49" s="9" t="s">
        <v>196</v>
      </c>
      <c r="F49" s="5">
        <v>153</v>
      </c>
      <c r="G49" s="29" t="s">
        <v>197</v>
      </c>
      <c r="H49" s="31" t="s">
        <v>198</v>
      </c>
      <c r="I49" s="29" t="s">
        <v>199</v>
      </c>
      <c r="J49" s="29" t="s">
        <v>200</v>
      </c>
      <c r="K49" s="5" t="s">
        <v>17</v>
      </c>
      <c r="L49" s="30">
        <v>48</v>
      </c>
    </row>
    <row r="50" spans="1:12" ht="24.95" customHeight="1" thickBot="1" x14ac:dyDescent="0.45">
      <c r="A50" s="3" t="s">
        <v>820</v>
      </c>
      <c r="B50" s="4">
        <v>222559030</v>
      </c>
      <c r="C50" s="4">
        <v>0</v>
      </c>
      <c r="D50" s="4">
        <v>150000000</v>
      </c>
      <c r="E50" s="12" t="s">
        <v>201</v>
      </c>
      <c r="F50" s="3"/>
      <c r="G50" s="26" t="s">
        <v>202</v>
      </c>
      <c r="H50" s="27" t="s">
        <v>203</v>
      </c>
      <c r="I50" s="26" t="s">
        <v>204</v>
      </c>
      <c r="J50" s="26" t="s">
        <v>200</v>
      </c>
      <c r="K50" s="3" t="s">
        <v>17</v>
      </c>
      <c r="L50" s="28">
        <v>49</v>
      </c>
    </row>
    <row r="51" spans="1:12" ht="24.95" customHeight="1" thickBot="1" x14ac:dyDescent="0.45">
      <c r="A51" s="5" t="s">
        <v>800</v>
      </c>
      <c r="B51" s="6">
        <v>372559030</v>
      </c>
      <c r="C51" s="6">
        <v>0</v>
      </c>
      <c r="D51" s="6">
        <v>15000</v>
      </c>
      <c r="E51" s="13" t="s">
        <v>205</v>
      </c>
      <c r="F51" s="5"/>
      <c r="G51" s="29" t="s">
        <v>202</v>
      </c>
      <c r="H51" s="31" t="s">
        <v>203</v>
      </c>
      <c r="I51" s="29" t="s">
        <v>206</v>
      </c>
      <c r="J51" s="29" t="s">
        <v>200</v>
      </c>
      <c r="K51" s="5" t="s">
        <v>17</v>
      </c>
      <c r="L51" s="30">
        <v>50</v>
      </c>
    </row>
    <row r="52" spans="1:12" ht="24.95" customHeight="1" thickBot="1" x14ac:dyDescent="0.45">
      <c r="A52" s="33" t="s">
        <v>2</v>
      </c>
      <c r="B52" s="4">
        <v>372574030</v>
      </c>
      <c r="C52" s="23">
        <v>40000000</v>
      </c>
      <c r="D52" s="4">
        <v>0</v>
      </c>
      <c r="E52" s="8" t="s">
        <v>207</v>
      </c>
      <c r="F52" s="3">
        <v>148</v>
      </c>
      <c r="G52" s="26" t="s">
        <v>208</v>
      </c>
      <c r="H52" s="27" t="s">
        <v>209</v>
      </c>
      <c r="I52" s="26" t="s">
        <v>210</v>
      </c>
      <c r="J52" s="26" t="s">
        <v>211</v>
      </c>
      <c r="K52" s="3" t="s">
        <v>17</v>
      </c>
      <c r="L52" s="28">
        <v>51</v>
      </c>
    </row>
    <row r="53" spans="1:12" ht="24.95" customHeight="1" thickBot="1" x14ac:dyDescent="0.45">
      <c r="A53" s="5" t="s">
        <v>819</v>
      </c>
      <c r="B53" s="6">
        <v>332574030</v>
      </c>
      <c r="C53" s="6">
        <v>0</v>
      </c>
      <c r="D53" s="6">
        <v>2910000</v>
      </c>
      <c r="E53" s="9" t="s">
        <v>212</v>
      </c>
      <c r="F53" s="5"/>
      <c r="G53" s="29" t="s">
        <v>213</v>
      </c>
      <c r="H53" s="31" t="s">
        <v>214</v>
      </c>
      <c r="I53" s="29" t="s">
        <v>215</v>
      </c>
      <c r="J53" s="29" t="s">
        <v>211</v>
      </c>
      <c r="K53" s="5" t="s">
        <v>17</v>
      </c>
      <c r="L53" s="30">
        <v>52</v>
      </c>
    </row>
    <row r="54" spans="1:12" ht="24.95" customHeight="1" thickBot="1" x14ac:dyDescent="0.45">
      <c r="A54" s="3" t="s">
        <v>818</v>
      </c>
      <c r="B54" s="4">
        <v>335484030</v>
      </c>
      <c r="C54" s="4">
        <v>0</v>
      </c>
      <c r="D54" s="4">
        <v>309050000</v>
      </c>
      <c r="E54" s="12" t="s">
        <v>216</v>
      </c>
      <c r="F54" s="3"/>
      <c r="G54" s="26" t="s">
        <v>217</v>
      </c>
      <c r="H54" s="27" t="s">
        <v>218</v>
      </c>
      <c r="I54" s="26" t="s">
        <v>219</v>
      </c>
      <c r="J54" s="26" t="s">
        <v>211</v>
      </c>
      <c r="K54" s="3" t="s">
        <v>17</v>
      </c>
      <c r="L54" s="28">
        <v>53</v>
      </c>
    </row>
    <row r="55" spans="1:12" ht="24.95" customHeight="1" thickBot="1" x14ac:dyDescent="0.45">
      <c r="A55" s="5" t="s">
        <v>800</v>
      </c>
      <c r="B55" s="6">
        <v>644534030</v>
      </c>
      <c r="C55" s="6">
        <v>0</v>
      </c>
      <c r="D55" s="6">
        <v>30000</v>
      </c>
      <c r="E55" s="13" t="s">
        <v>220</v>
      </c>
      <c r="F55" s="5"/>
      <c r="G55" s="29" t="s">
        <v>217</v>
      </c>
      <c r="H55" s="31" t="s">
        <v>218</v>
      </c>
      <c r="I55" s="29" t="s">
        <v>219</v>
      </c>
      <c r="J55" s="29" t="s">
        <v>211</v>
      </c>
      <c r="K55" s="5" t="s">
        <v>17</v>
      </c>
      <c r="L55" s="30">
        <v>54</v>
      </c>
    </row>
    <row r="56" spans="1:12" ht="24.95" customHeight="1" thickBot="1" x14ac:dyDescent="0.45">
      <c r="A56" s="33" t="s">
        <v>2</v>
      </c>
      <c r="B56" s="4">
        <v>644564030</v>
      </c>
      <c r="C56" s="23">
        <v>100000000</v>
      </c>
      <c r="D56" s="4">
        <v>0</v>
      </c>
      <c r="E56" s="8" t="s">
        <v>221</v>
      </c>
      <c r="F56" s="3">
        <v>146</v>
      </c>
      <c r="G56" s="26" t="s">
        <v>222</v>
      </c>
      <c r="H56" s="27" t="s">
        <v>223</v>
      </c>
      <c r="I56" s="26" t="s">
        <v>224</v>
      </c>
      <c r="J56" s="26" t="s">
        <v>225</v>
      </c>
      <c r="K56" s="3" t="s">
        <v>17</v>
      </c>
      <c r="L56" s="28">
        <v>55</v>
      </c>
    </row>
    <row r="57" spans="1:12" ht="24.95" customHeight="1" thickBot="1" x14ac:dyDescent="0.45">
      <c r="A57" s="33" t="s">
        <v>2</v>
      </c>
      <c r="B57" s="6">
        <v>544564030</v>
      </c>
      <c r="C57" s="23">
        <v>100000000</v>
      </c>
      <c r="D57" s="6">
        <v>0</v>
      </c>
      <c r="E57" s="9" t="s">
        <v>226</v>
      </c>
      <c r="F57" s="5">
        <v>145</v>
      </c>
      <c r="G57" s="29" t="s">
        <v>227</v>
      </c>
      <c r="H57" s="31" t="s">
        <v>228</v>
      </c>
      <c r="I57" s="29" t="s">
        <v>229</v>
      </c>
      <c r="J57" s="29" t="s">
        <v>225</v>
      </c>
      <c r="K57" s="5" t="s">
        <v>17</v>
      </c>
      <c r="L57" s="30">
        <v>56</v>
      </c>
    </row>
    <row r="58" spans="1:12" ht="24.95" customHeight="1" thickBot="1" x14ac:dyDescent="0.45">
      <c r="A58" s="33" t="s">
        <v>2</v>
      </c>
      <c r="B58" s="4">
        <v>444564030</v>
      </c>
      <c r="C58" s="23">
        <v>20000000</v>
      </c>
      <c r="D58" s="4">
        <v>0</v>
      </c>
      <c r="E58" s="8" t="s">
        <v>230</v>
      </c>
      <c r="F58" s="3">
        <v>143</v>
      </c>
      <c r="G58" s="26" t="s">
        <v>231</v>
      </c>
      <c r="H58" s="27" t="s">
        <v>232</v>
      </c>
      <c r="I58" s="26" t="s">
        <v>233</v>
      </c>
      <c r="J58" s="26" t="s">
        <v>225</v>
      </c>
      <c r="K58" s="3" t="s">
        <v>17</v>
      </c>
      <c r="L58" s="28">
        <v>57</v>
      </c>
    </row>
    <row r="59" spans="1:12" ht="24.95" customHeight="1" thickBot="1" x14ac:dyDescent="0.45">
      <c r="A59" s="33" t="s">
        <v>2</v>
      </c>
      <c r="B59" s="6">
        <v>424564030</v>
      </c>
      <c r="C59" s="23">
        <v>80000000</v>
      </c>
      <c r="D59" s="6">
        <v>0</v>
      </c>
      <c r="E59" s="9" t="s">
        <v>234</v>
      </c>
      <c r="F59" s="5">
        <v>144</v>
      </c>
      <c r="G59" s="29" t="s">
        <v>235</v>
      </c>
      <c r="H59" s="31" t="s">
        <v>236</v>
      </c>
      <c r="I59" s="29" t="s">
        <v>237</v>
      </c>
      <c r="J59" s="29" t="s">
        <v>225</v>
      </c>
      <c r="K59" s="5" t="s">
        <v>17</v>
      </c>
      <c r="L59" s="30">
        <v>58</v>
      </c>
    </row>
    <row r="60" spans="1:12" ht="24.95" customHeight="1" thickBot="1" x14ac:dyDescent="0.45">
      <c r="A60" s="33" t="s">
        <v>2</v>
      </c>
      <c r="B60" s="4">
        <v>344564030</v>
      </c>
      <c r="C60" s="23">
        <v>10000000</v>
      </c>
      <c r="D60" s="4">
        <v>0</v>
      </c>
      <c r="E60" s="8" t="s">
        <v>238</v>
      </c>
      <c r="F60" s="3">
        <v>142</v>
      </c>
      <c r="G60" s="26" t="s">
        <v>239</v>
      </c>
      <c r="H60" s="27" t="s">
        <v>240</v>
      </c>
      <c r="I60" s="26" t="s">
        <v>241</v>
      </c>
      <c r="J60" s="26" t="s">
        <v>225</v>
      </c>
      <c r="K60" s="3" t="s">
        <v>17</v>
      </c>
      <c r="L60" s="28">
        <v>59</v>
      </c>
    </row>
    <row r="61" spans="1:12" ht="24.95" customHeight="1" thickBot="1" x14ac:dyDescent="0.45">
      <c r="A61" s="5" t="s">
        <v>802</v>
      </c>
      <c r="B61" s="6">
        <v>334564030</v>
      </c>
      <c r="C61" s="6">
        <v>0</v>
      </c>
      <c r="D61" s="6">
        <v>4350000</v>
      </c>
      <c r="E61" s="9" t="s">
        <v>242</v>
      </c>
      <c r="F61" s="5"/>
      <c r="G61" s="29" t="s">
        <v>243</v>
      </c>
      <c r="H61" s="31" t="s">
        <v>244</v>
      </c>
      <c r="I61" s="29" t="s">
        <v>245</v>
      </c>
      <c r="J61" s="29" t="s">
        <v>246</v>
      </c>
      <c r="K61" s="5" t="s">
        <v>17</v>
      </c>
      <c r="L61" s="30">
        <v>60</v>
      </c>
    </row>
    <row r="62" spans="1:12" ht="24.95" customHeight="1" thickBot="1" x14ac:dyDescent="0.45">
      <c r="A62" s="3" t="s">
        <v>806</v>
      </c>
      <c r="B62" s="4">
        <v>338914030</v>
      </c>
      <c r="C62" s="4">
        <v>0</v>
      </c>
      <c r="D62" s="4">
        <v>1177000</v>
      </c>
      <c r="E62" s="8" t="s">
        <v>247</v>
      </c>
      <c r="F62" s="3"/>
      <c r="G62" s="26" t="s">
        <v>248</v>
      </c>
      <c r="H62" s="27" t="s">
        <v>249</v>
      </c>
      <c r="I62" s="26" t="s">
        <v>250</v>
      </c>
      <c r="J62" s="26" t="s">
        <v>246</v>
      </c>
      <c r="K62" s="3" t="s">
        <v>17</v>
      </c>
      <c r="L62" s="28">
        <v>61</v>
      </c>
    </row>
    <row r="63" spans="1:12" ht="24.95" customHeight="1" thickBot="1" x14ac:dyDescent="0.45">
      <c r="A63" s="5" t="s">
        <v>802</v>
      </c>
      <c r="B63" s="6">
        <v>340091030</v>
      </c>
      <c r="C63" s="6">
        <v>0</v>
      </c>
      <c r="D63" s="6">
        <v>19650000</v>
      </c>
      <c r="E63" s="9" t="s">
        <v>251</v>
      </c>
      <c r="F63" s="5"/>
      <c r="G63" s="29" t="s">
        <v>252</v>
      </c>
      <c r="H63" s="31" t="s">
        <v>253</v>
      </c>
      <c r="I63" s="29" t="s">
        <v>254</v>
      </c>
      <c r="J63" s="29" t="s">
        <v>255</v>
      </c>
      <c r="K63" s="5" t="s">
        <v>17</v>
      </c>
      <c r="L63" s="30">
        <v>62</v>
      </c>
    </row>
    <row r="64" spans="1:12" ht="24.95" customHeight="1" thickBot="1" x14ac:dyDescent="0.45">
      <c r="A64" s="3" t="s">
        <v>800</v>
      </c>
      <c r="B64" s="4">
        <v>359741030</v>
      </c>
      <c r="C64" s="4">
        <v>0</v>
      </c>
      <c r="D64" s="4">
        <v>10000</v>
      </c>
      <c r="E64" s="11" t="s">
        <v>79</v>
      </c>
      <c r="F64" s="3"/>
      <c r="G64" s="26" t="s">
        <v>252</v>
      </c>
      <c r="H64" s="27" t="s">
        <v>253</v>
      </c>
      <c r="I64" s="26" t="s">
        <v>254</v>
      </c>
      <c r="J64" s="26" t="s">
        <v>255</v>
      </c>
      <c r="K64" s="3" t="s">
        <v>17</v>
      </c>
      <c r="L64" s="28">
        <v>63</v>
      </c>
    </row>
    <row r="65" spans="1:12" ht="24.95" customHeight="1" thickBot="1" x14ac:dyDescent="0.45">
      <c r="A65" s="5" t="s">
        <v>807</v>
      </c>
      <c r="B65" s="6">
        <v>359751030</v>
      </c>
      <c r="C65" s="6">
        <v>0</v>
      </c>
      <c r="D65" s="6">
        <v>4400000</v>
      </c>
      <c r="E65" s="9" t="s">
        <v>256</v>
      </c>
      <c r="F65" s="5"/>
      <c r="G65" s="29" t="s">
        <v>257</v>
      </c>
      <c r="H65" s="31" t="s">
        <v>258</v>
      </c>
      <c r="I65" s="29" t="s">
        <v>259</v>
      </c>
      <c r="J65" s="29" t="s">
        <v>255</v>
      </c>
      <c r="K65" s="5" t="s">
        <v>17</v>
      </c>
      <c r="L65" s="30">
        <v>64</v>
      </c>
    </row>
    <row r="66" spans="1:12" ht="24.95" customHeight="1" thickBot="1" x14ac:dyDescent="0.45">
      <c r="A66" s="3" t="s">
        <v>802</v>
      </c>
      <c r="B66" s="4">
        <v>364151030</v>
      </c>
      <c r="C66" s="4">
        <v>0</v>
      </c>
      <c r="D66" s="4">
        <v>983696</v>
      </c>
      <c r="E66" s="8" t="s">
        <v>260</v>
      </c>
      <c r="F66" s="3"/>
      <c r="G66" s="26" t="s">
        <v>261</v>
      </c>
      <c r="H66" s="27" t="s">
        <v>262</v>
      </c>
      <c r="I66" s="26" t="s">
        <v>263</v>
      </c>
      <c r="J66" s="26" t="s">
        <v>255</v>
      </c>
      <c r="K66" s="3" t="s">
        <v>17</v>
      </c>
      <c r="L66" s="28">
        <v>65</v>
      </c>
    </row>
    <row r="67" spans="1:12" ht="24.95" customHeight="1" thickBot="1" x14ac:dyDescent="0.45">
      <c r="A67" s="5" t="s">
        <v>814</v>
      </c>
      <c r="B67" s="6">
        <v>365134726</v>
      </c>
      <c r="C67" s="6">
        <v>0</v>
      </c>
      <c r="D67" s="6">
        <v>10000000</v>
      </c>
      <c r="E67" s="9" t="s">
        <v>264</v>
      </c>
      <c r="F67" s="5"/>
      <c r="G67" s="29" t="s">
        <v>265</v>
      </c>
      <c r="H67" s="31" t="s">
        <v>266</v>
      </c>
      <c r="I67" s="29" t="s">
        <v>267</v>
      </c>
      <c r="J67" s="29" t="s">
        <v>268</v>
      </c>
      <c r="K67" s="5" t="s">
        <v>17</v>
      </c>
      <c r="L67" s="30">
        <v>66</v>
      </c>
    </row>
    <row r="68" spans="1:12" ht="24.95" customHeight="1" thickBot="1" x14ac:dyDescent="0.45">
      <c r="A68" s="3" t="s">
        <v>800</v>
      </c>
      <c r="B68" s="4">
        <v>375134726</v>
      </c>
      <c r="C68" s="4">
        <v>0</v>
      </c>
      <c r="D68" s="4">
        <v>7200</v>
      </c>
      <c r="E68" s="11" t="s">
        <v>79</v>
      </c>
      <c r="F68" s="3"/>
      <c r="G68" s="26" t="s">
        <v>265</v>
      </c>
      <c r="H68" s="27" t="s">
        <v>266</v>
      </c>
      <c r="I68" s="26" t="s">
        <v>267</v>
      </c>
      <c r="J68" s="26" t="s">
        <v>268</v>
      </c>
      <c r="K68" s="3" t="s">
        <v>17</v>
      </c>
      <c r="L68" s="28">
        <v>67</v>
      </c>
    </row>
    <row r="69" spans="1:12" ht="24.95" customHeight="1" thickBot="1" x14ac:dyDescent="0.45">
      <c r="A69" s="5" t="s">
        <v>809</v>
      </c>
      <c r="B69" s="6">
        <v>375141926</v>
      </c>
      <c r="C69" s="6">
        <v>0</v>
      </c>
      <c r="D69" s="6">
        <v>24100000</v>
      </c>
      <c r="E69" s="9" t="s">
        <v>269</v>
      </c>
      <c r="F69" s="5"/>
      <c r="G69" s="29" t="s">
        <v>270</v>
      </c>
      <c r="H69" s="31" t="s">
        <v>271</v>
      </c>
      <c r="I69" s="29" t="s">
        <v>272</v>
      </c>
      <c r="J69" s="29" t="s">
        <v>268</v>
      </c>
      <c r="K69" s="5" t="s">
        <v>17</v>
      </c>
      <c r="L69" s="30">
        <v>68</v>
      </c>
    </row>
    <row r="70" spans="1:12" ht="24.95" customHeight="1" thickBot="1" x14ac:dyDescent="0.45">
      <c r="A70" s="3" t="s">
        <v>800</v>
      </c>
      <c r="B70" s="4">
        <v>399241926</v>
      </c>
      <c r="C70" s="4">
        <v>0</v>
      </c>
      <c r="D70" s="4">
        <v>12800</v>
      </c>
      <c r="E70" s="11" t="s">
        <v>79</v>
      </c>
      <c r="F70" s="3"/>
      <c r="G70" s="26" t="s">
        <v>270</v>
      </c>
      <c r="H70" s="27" t="s">
        <v>271</v>
      </c>
      <c r="I70" s="26" t="s">
        <v>273</v>
      </c>
      <c r="J70" s="26" t="s">
        <v>268</v>
      </c>
      <c r="K70" s="3" t="s">
        <v>17</v>
      </c>
      <c r="L70" s="28">
        <v>69</v>
      </c>
    </row>
    <row r="71" spans="1:12" ht="24.95" customHeight="1" thickBot="1" x14ac:dyDescent="0.45">
      <c r="A71" s="5" t="s">
        <v>806</v>
      </c>
      <c r="B71" s="6">
        <v>399254726</v>
      </c>
      <c r="C71" s="6">
        <v>0</v>
      </c>
      <c r="D71" s="6">
        <v>220000</v>
      </c>
      <c r="E71" s="9" t="s">
        <v>274</v>
      </c>
      <c r="F71" s="5"/>
      <c r="G71" s="29" t="s">
        <v>275</v>
      </c>
      <c r="H71" s="31" t="s">
        <v>276</v>
      </c>
      <c r="I71" s="29" t="s">
        <v>277</v>
      </c>
      <c r="J71" s="29" t="s">
        <v>278</v>
      </c>
      <c r="K71" s="5" t="s">
        <v>17</v>
      </c>
      <c r="L71" s="30">
        <v>70</v>
      </c>
    </row>
    <row r="72" spans="1:12" ht="24.95" customHeight="1" thickBot="1" x14ac:dyDescent="0.45">
      <c r="A72" s="3" t="s">
        <v>806</v>
      </c>
      <c r="B72" s="4">
        <v>399474726</v>
      </c>
      <c r="C72" s="4">
        <v>0</v>
      </c>
      <c r="D72" s="4">
        <v>220000</v>
      </c>
      <c r="E72" s="8" t="s">
        <v>279</v>
      </c>
      <c r="F72" s="3"/>
      <c r="G72" s="26" t="s">
        <v>280</v>
      </c>
      <c r="H72" s="27" t="s">
        <v>281</v>
      </c>
      <c r="I72" s="26" t="s">
        <v>282</v>
      </c>
      <c r="J72" s="26" t="s">
        <v>278</v>
      </c>
      <c r="K72" s="3" t="s">
        <v>17</v>
      </c>
      <c r="L72" s="28">
        <v>71</v>
      </c>
    </row>
    <row r="73" spans="1:12" ht="24.95" customHeight="1" thickBot="1" x14ac:dyDescent="0.45">
      <c r="A73" s="5" t="s">
        <v>804</v>
      </c>
      <c r="B73" s="6">
        <v>399694726</v>
      </c>
      <c r="C73" s="6">
        <v>0</v>
      </c>
      <c r="D73" s="6">
        <v>950000</v>
      </c>
      <c r="E73" s="9" t="s">
        <v>283</v>
      </c>
      <c r="F73" s="5"/>
      <c r="G73" s="29" t="s">
        <v>284</v>
      </c>
      <c r="H73" s="31" t="s">
        <v>285</v>
      </c>
      <c r="I73" s="29" t="s">
        <v>286</v>
      </c>
      <c r="J73" s="29" t="s">
        <v>278</v>
      </c>
      <c r="K73" s="5" t="s">
        <v>17</v>
      </c>
      <c r="L73" s="30">
        <v>72</v>
      </c>
    </row>
    <row r="74" spans="1:12" ht="24.95" customHeight="1" thickBot="1" x14ac:dyDescent="0.45">
      <c r="A74" s="3" t="s">
        <v>807</v>
      </c>
      <c r="B74" s="4">
        <v>400644726</v>
      </c>
      <c r="C74" s="4">
        <v>0</v>
      </c>
      <c r="D74" s="4">
        <v>2200000</v>
      </c>
      <c r="E74" s="8" t="s">
        <v>287</v>
      </c>
      <c r="F74" s="3"/>
      <c r="G74" s="26" t="s">
        <v>288</v>
      </c>
      <c r="H74" s="27" t="s">
        <v>289</v>
      </c>
      <c r="I74" s="26" t="s">
        <v>290</v>
      </c>
      <c r="J74" s="26" t="s">
        <v>278</v>
      </c>
      <c r="K74" s="3" t="s">
        <v>17</v>
      </c>
      <c r="L74" s="28">
        <v>73</v>
      </c>
    </row>
    <row r="75" spans="1:12" ht="24.95" customHeight="1" thickBot="1" x14ac:dyDescent="0.45">
      <c r="A75" s="33" t="s">
        <v>2</v>
      </c>
      <c r="B75" s="6">
        <v>402844726</v>
      </c>
      <c r="C75" s="23">
        <v>100000000</v>
      </c>
      <c r="D75" s="6">
        <v>0</v>
      </c>
      <c r="E75" s="9" t="s">
        <v>291</v>
      </c>
      <c r="F75" s="5">
        <v>261</v>
      </c>
      <c r="G75" s="29" t="s">
        <v>292</v>
      </c>
      <c r="H75" s="31" t="s">
        <v>293</v>
      </c>
      <c r="I75" s="29" t="s">
        <v>294</v>
      </c>
      <c r="J75" s="29" t="s">
        <v>295</v>
      </c>
      <c r="K75" s="5" t="s">
        <v>17</v>
      </c>
      <c r="L75" s="30">
        <v>74</v>
      </c>
    </row>
    <row r="76" spans="1:12" ht="24.95" customHeight="1" thickBot="1" x14ac:dyDescent="0.45">
      <c r="A76" s="3" t="s">
        <v>806</v>
      </c>
      <c r="B76" s="4">
        <v>302844726</v>
      </c>
      <c r="C76" s="4">
        <v>0</v>
      </c>
      <c r="D76" s="4">
        <v>200000</v>
      </c>
      <c r="E76" s="8" t="s">
        <v>296</v>
      </c>
      <c r="F76" s="3"/>
      <c r="G76" s="26" t="s">
        <v>297</v>
      </c>
      <c r="H76" s="27" t="s">
        <v>298</v>
      </c>
      <c r="I76" s="26" t="s">
        <v>299</v>
      </c>
      <c r="J76" s="26" t="s">
        <v>295</v>
      </c>
      <c r="K76" s="3" t="s">
        <v>17</v>
      </c>
      <c r="L76" s="28">
        <v>75</v>
      </c>
    </row>
    <row r="77" spans="1:12" ht="24.95" customHeight="1" thickBot="1" x14ac:dyDescent="0.45">
      <c r="A77" s="5" t="s">
        <v>802</v>
      </c>
      <c r="B77" s="6">
        <v>303044726</v>
      </c>
      <c r="C77" s="6">
        <v>0</v>
      </c>
      <c r="D77" s="6">
        <v>4000000</v>
      </c>
      <c r="E77" s="9" t="s">
        <v>300</v>
      </c>
      <c r="F77" s="5"/>
      <c r="G77" s="29" t="s">
        <v>301</v>
      </c>
      <c r="H77" s="31" t="s">
        <v>302</v>
      </c>
      <c r="I77" s="29" t="s">
        <v>303</v>
      </c>
      <c r="J77" s="29" t="s">
        <v>304</v>
      </c>
      <c r="K77" s="5" t="s">
        <v>17</v>
      </c>
      <c r="L77" s="30">
        <v>76</v>
      </c>
    </row>
    <row r="78" spans="1:12" ht="24.95" customHeight="1" thickBot="1" x14ac:dyDescent="0.45">
      <c r="A78" s="3" t="s">
        <v>800</v>
      </c>
      <c r="B78" s="4">
        <v>307044726</v>
      </c>
      <c r="C78" s="4">
        <v>0</v>
      </c>
      <c r="D78" s="4">
        <v>7200</v>
      </c>
      <c r="E78" s="11" t="s">
        <v>79</v>
      </c>
      <c r="F78" s="3"/>
      <c r="G78" s="26" t="s">
        <v>301</v>
      </c>
      <c r="H78" s="27" t="s">
        <v>302</v>
      </c>
      <c r="I78" s="26" t="s">
        <v>303</v>
      </c>
      <c r="J78" s="26" t="s">
        <v>304</v>
      </c>
      <c r="K78" s="3" t="s">
        <v>17</v>
      </c>
      <c r="L78" s="28">
        <v>77</v>
      </c>
    </row>
    <row r="79" spans="1:12" ht="24.95" customHeight="1" thickBot="1" x14ac:dyDescent="0.45">
      <c r="A79" s="33" t="s">
        <v>2</v>
      </c>
      <c r="B79" s="6">
        <v>307051926</v>
      </c>
      <c r="C79" s="23">
        <v>50000000</v>
      </c>
      <c r="D79" s="6">
        <v>0</v>
      </c>
      <c r="E79" s="9" t="s">
        <v>305</v>
      </c>
      <c r="F79" s="63">
        <v>271</v>
      </c>
      <c r="G79" s="29" t="s">
        <v>306</v>
      </c>
      <c r="H79" s="31" t="s">
        <v>307</v>
      </c>
      <c r="I79" s="29" t="s">
        <v>308</v>
      </c>
      <c r="J79" s="29" t="s">
        <v>309</v>
      </c>
      <c r="K79" s="5" t="s">
        <v>17</v>
      </c>
      <c r="L79" s="30">
        <v>78</v>
      </c>
    </row>
    <row r="80" spans="1:12" ht="24.95" customHeight="1" thickBot="1" x14ac:dyDescent="0.45">
      <c r="A80" s="33" t="s">
        <v>2</v>
      </c>
      <c r="B80" s="4">
        <v>257051926</v>
      </c>
      <c r="C80" s="23">
        <v>100000000</v>
      </c>
      <c r="D80" s="4">
        <v>0</v>
      </c>
      <c r="E80" s="8" t="s">
        <v>310</v>
      </c>
      <c r="F80" s="64">
        <v>272</v>
      </c>
      <c r="G80" s="26" t="s">
        <v>311</v>
      </c>
      <c r="H80" s="27" t="s">
        <v>312</v>
      </c>
      <c r="I80" s="26" t="s">
        <v>313</v>
      </c>
      <c r="J80" s="26" t="s">
        <v>309</v>
      </c>
      <c r="K80" s="3" t="s">
        <v>17</v>
      </c>
      <c r="L80" s="28">
        <v>79</v>
      </c>
    </row>
    <row r="81" spans="1:12" ht="24.95" customHeight="1" thickBot="1" x14ac:dyDescent="0.45">
      <c r="A81" s="33" t="s">
        <v>2</v>
      </c>
      <c r="B81" s="6">
        <v>157051926</v>
      </c>
      <c r="C81" s="23">
        <v>100000000</v>
      </c>
      <c r="D81" s="6">
        <v>0</v>
      </c>
      <c r="E81" s="9" t="s">
        <v>314</v>
      </c>
      <c r="F81" s="63">
        <v>273</v>
      </c>
      <c r="G81" s="29" t="s">
        <v>315</v>
      </c>
      <c r="H81" s="31" t="s">
        <v>316</v>
      </c>
      <c r="I81" s="29" t="s">
        <v>317</v>
      </c>
      <c r="J81" s="29" t="s">
        <v>318</v>
      </c>
      <c r="K81" s="5" t="s">
        <v>17</v>
      </c>
      <c r="L81" s="30">
        <v>80</v>
      </c>
    </row>
    <row r="82" spans="1:12" ht="24.95" customHeight="1" thickBot="1" x14ac:dyDescent="0.45">
      <c r="A82" s="3" t="s">
        <v>802</v>
      </c>
      <c r="B82" s="4">
        <v>57051926</v>
      </c>
      <c r="C82" s="4">
        <v>0</v>
      </c>
      <c r="D82" s="4">
        <v>19980000</v>
      </c>
      <c r="E82" s="8" t="s">
        <v>319</v>
      </c>
      <c r="F82" s="3"/>
      <c r="G82" s="26" t="s">
        <v>320</v>
      </c>
      <c r="H82" s="27" t="s">
        <v>321</v>
      </c>
      <c r="I82" s="26" t="s">
        <v>322</v>
      </c>
      <c r="J82" s="26" t="s">
        <v>318</v>
      </c>
      <c r="K82" s="3" t="s">
        <v>17</v>
      </c>
      <c r="L82" s="28">
        <v>81</v>
      </c>
    </row>
    <row r="83" spans="1:12" ht="24.95" customHeight="1" thickBot="1" x14ac:dyDescent="0.45">
      <c r="A83" s="5" t="s">
        <v>800</v>
      </c>
      <c r="B83" s="6">
        <v>77031926</v>
      </c>
      <c r="C83" s="6">
        <v>0</v>
      </c>
      <c r="D83" s="6">
        <v>10000</v>
      </c>
      <c r="E83" s="10" t="s">
        <v>79</v>
      </c>
      <c r="F83" s="5"/>
      <c r="G83" s="29" t="s">
        <v>320</v>
      </c>
      <c r="H83" s="31" t="s">
        <v>321</v>
      </c>
      <c r="I83" s="29" t="s">
        <v>322</v>
      </c>
      <c r="J83" s="29" t="s">
        <v>318</v>
      </c>
      <c r="K83" s="5" t="s">
        <v>17</v>
      </c>
      <c r="L83" s="30">
        <v>82</v>
      </c>
    </row>
    <row r="84" spans="1:12" ht="24.95" customHeight="1" thickBot="1" x14ac:dyDescent="0.45">
      <c r="A84" s="3" t="s">
        <v>812</v>
      </c>
      <c r="B84" s="4">
        <v>77041926</v>
      </c>
      <c r="C84" s="4">
        <v>0</v>
      </c>
      <c r="D84" s="4">
        <v>350000</v>
      </c>
      <c r="E84" s="8" t="s">
        <v>323</v>
      </c>
      <c r="F84" s="3"/>
      <c r="G84" s="26" t="s">
        <v>324</v>
      </c>
      <c r="H84" s="27" t="s">
        <v>325</v>
      </c>
      <c r="I84" s="26" t="s">
        <v>326</v>
      </c>
      <c r="J84" s="26" t="s">
        <v>327</v>
      </c>
      <c r="K84" s="3" t="s">
        <v>17</v>
      </c>
      <c r="L84" s="28">
        <v>83</v>
      </c>
    </row>
    <row r="85" spans="1:12" ht="24.95" customHeight="1" thickBot="1" x14ac:dyDescent="0.45">
      <c r="A85" s="5" t="s">
        <v>840</v>
      </c>
      <c r="B85" s="6">
        <v>77391926</v>
      </c>
      <c r="C85" s="6">
        <v>0</v>
      </c>
      <c r="D85" s="6">
        <v>360000</v>
      </c>
      <c r="E85" s="9" t="s">
        <v>328</v>
      </c>
      <c r="F85" s="5"/>
      <c r="G85" s="29" t="s">
        <v>329</v>
      </c>
      <c r="H85" s="31" t="s">
        <v>330</v>
      </c>
      <c r="I85" s="29" t="s">
        <v>331</v>
      </c>
      <c r="J85" s="29" t="s">
        <v>327</v>
      </c>
      <c r="K85" s="5" t="s">
        <v>17</v>
      </c>
      <c r="L85" s="30">
        <v>84</v>
      </c>
    </row>
    <row r="86" spans="1:12" ht="24.95" customHeight="1" thickBot="1" x14ac:dyDescent="0.45">
      <c r="A86" s="3" t="s">
        <v>807</v>
      </c>
      <c r="B86" s="4">
        <v>77751926</v>
      </c>
      <c r="C86" s="4">
        <v>0</v>
      </c>
      <c r="D86" s="4">
        <v>1800000</v>
      </c>
      <c r="E86" s="8" t="s">
        <v>332</v>
      </c>
      <c r="F86" s="3"/>
      <c r="G86" s="26" t="s">
        <v>333</v>
      </c>
      <c r="H86" s="27" t="s">
        <v>334</v>
      </c>
      <c r="I86" s="26" t="s">
        <v>335</v>
      </c>
      <c r="J86" s="26" t="s">
        <v>336</v>
      </c>
      <c r="K86" s="3" t="s">
        <v>17</v>
      </c>
      <c r="L86" s="28">
        <v>85</v>
      </c>
    </row>
    <row r="87" spans="1:12" ht="24.95" customHeight="1" thickBot="1" x14ac:dyDescent="0.45">
      <c r="A87" s="5" t="s">
        <v>802</v>
      </c>
      <c r="B87" s="6">
        <v>79551926</v>
      </c>
      <c r="C87" s="6">
        <v>0</v>
      </c>
      <c r="D87" s="6">
        <v>700000</v>
      </c>
      <c r="E87" s="9" t="s">
        <v>337</v>
      </c>
      <c r="F87" s="5"/>
      <c r="G87" s="29" t="s">
        <v>338</v>
      </c>
      <c r="H87" s="31" t="s">
        <v>339</v>
      </c>
      <c r="I87" s="29" t="s">
        <v>340</v>
      </c>
      <c r="J87" s="29" t="s">
        <v>336</v>
      </c>
      <c r="K87" s="5" t="s">
        <v>17</v>
      </c>
      <c r="L87" s="30">
        <v>86</v>
      </c>
    </row>
    <row r="88" spans="1:12" ht="24.95" customHeight="1" thickBot="1" x14ac:dyDescent="0.45">
      <c r="A88" s="3" t="s">
        <v>800</v>
      </c>
      <c r="B88" s="4">
        <v>80251926</v>
      </c>
      <c r="C88" s="4">
        <v>0</v>
      </c>
      <c r="D88" s="4">
        <v>7200</v>
      </c>
      <c r="E88" s="11" t="s">
        <v>79</v>
      </c>
      <c r="F88" s="3"/>
      <c r="G88" s="26" t="s">
        <v>338</v>
      </c>
      <c r="H88" s="27" t="s">
        <v>339</v>
      </c>
      <c r="I88" s="26" t="s">
        <v>340</v>
      </c>
      <c r="J88" s="26" t="s">
        <v>336</v>
      </c>
      <c r="K88" s="3" t="s">
        <v>17</v>
      </c>
      <c r="L88" s="28">
        <v>87</v>
      </c>
    </row>
    <row r="89" spans="1:12" ht="24.95" customHeight="1" thickBot="1" x14ac:dyDescent="0.45">
      <c r="A89" s="5" t="s">
        <v>802</v>
      </c>
      <c r="B89" s="6">
        <v>80259126</v>
      </c>
      <c r="C89" s="6">
        <v>0</v>
      </c>
      <c r="D89" s="6">
        <v>24300000</v>
      </c>
      <c r="E89" s="9" t="s">
        <v>341</v>
      </c>
      <c r="F89" s="5"/>
      <c r="G89" s="29" t="s">
        <v>342</v>
      </c>
      <c r="H89" s="31" t="s">
        <v>343</v>
      </c>
      <c r="I89" s="29" t="s">
        <v>344</v>
      </c>
      <c r="J89" s="29" t="s">
        <v>336</v>
      </c>
      <c r="K89" s="5" t="s">
        <v>17</v>
      </c>
      <c r="L89" s="30">
        <v>88</v>
      </c>
    </row>
    <row r="90" spans="1:12" ht="24.95" customHeight="1" thickBot="1" x14ac:dyDescent="0.45">
      <c r="A90" s="3" t="s">
        <v>800</v>
      </c>
      <c r="B90" s="4">
        <v>104559126</v>
      </c>
      <c r="C90" s="4">
        <v>0</v>
      </c>
      <c r="D90" s="4">
        <v>12800</v>
      </c>
      <c r="E90" s="11" t="s">
        <v>79</v>
      </c>
      <c r="F90" s="3"/>
      <c r="G90" s="26" t="s">
        <v>342</v>
      </c>
      <c r="H90" s="27" t="s">
        <v>343</v>
      </c>
      <c r="I90" s="26" t="s">
        <v>344</v>
      </c>
      <c r="J90" s="26" t="s">
        <v>336</v>
      </c>
      <c r="K90" s="3" t="s">
        <v>17</v>
      </c>
      <c r="L90" s="28">
        <v>89</v>
      </c>
    </row>
    <row r="91" spans="1:12" ht="24.95" customHeight="1" thickBot="1" x14ac:dyDescent="0.45">
      <c r="A91" s="5" t="s">
        <v>802</v>
      </c>
      <c r="B91" s="6">
        <v>104571926</v>
      </c>
      <c r="C91" s="6">
        <v>0</v>
      </c>
      <c r="D91" s="6">
        <v>740000</v>
      </c>
      <c r="E91" s="9" t="s">
        <v>345</v>
      </c>
      <c r="F91" s="5"/>
      <c r="G91" s="29" t="s">
        <v>346</v>
      </c>
      <c r="H91" s="31" t="s">
        <v>347</v>
      </c>
      <c r="I91" s="29" t="s">
        <v>348</v>
      </c>
      <c r="J91" s="29" t="s">
        <v>336</v>
      </c>
      <c r="K91" s="5" t="s">
        <v>17</v>
      </c>
      <c r="L91" s="30">
        <v>90</v>
      </c>
    </row>
    <row r="92" spans="1:12" ht="24.95" customHeight="1" thickBot="1" x14ac:dyDescent="0.45">
      <c r="A92" s="33" t="s">
        <v>2</v>
      </c>
      <c r="B92" s="4">
        <v>105311926</v>
      </c>
      <c r="C92" s="23">
        <v>70100000</v>
      </c>
      <c r="D92" s="4">
        <v>0</v>
      </c>
      <c r="E92" s="8" t="s">
        <v>349</v>
      </c>
      <c r="F92" s="3">
        <v>38</v>
      </c>
      <c r="G92" s="26" t="s">
        <v>350</v>
      </c>
      <c r="H92" s="27" t="s">
        <v>351</v>
      </c>
      <c r="I92" s="26" t="s">
        <v>352</v>
      </c>
      <c r="J92" s="26" t="s">
        <v>353</v>
      </c>
      <c r="K92" s="3" t="s">
        <v>17</v>
      </c>
      <c r="L92" s="28">
        <v>91</v>
      </c>
    </row>
    <row r="93" spans="1:12" ht="24.95" customHeight="1" thickBot="1" x14ac:dyDescent="0.45">
      <c r="A93" s="5" t="s">
        <v>804</v>
      </c>
      <c r="B93" s="6">
        <v>35211926</v>
      </c>
      <c r="C93" s="6">
        <v>0</v>
      </c>
      <c r="D93" s="6">
        <v>11760000</v>
      </c>
      <c r="E93" s="9" t="s">
        <v>354</v>
      </c>
      <c r="F93" s="5"/>
      <c r="G93" s="29" t="s">
        <v>355</v>
      </c>
      <c r="H93" s="31" t="s">
        <v>356</v>
      </c>
      <c r="I93" s="29" t="s">
        <v>357</v>
      </c>
      <c r="J93" s="29" t="s">
        <v>353</v>
      </c>
      <c r="K93" s="5" t="s">
        <v>17</v>
      </c>
      <c r="L93" s="30">
        <v>92</v>
      </c>
    </row>
    <row r="94" spans="1:12" ht="24.95" customHeight="1" thickBot="1" x14ac:dyDescent="0.45">
      <c r="A94" s="3" t="s">
        <v>804</v>
      </c>
      <c r="B94" s="4">
        <v>46971926</v>
      </c>
      <c r="C94" s="4">
        <v>0</v>
      </c>
      <c r="D94" s="4">
        <v>1162696</v>
      </c>
      <c r="E94" s="8" t="s">
        <v>358</v>
      </c>
      <c r="F94" s="3"/>
      <c r="G94" s="26" t="s">
        <v>359</v>
      </c>
      <c r="H94" s="27" t="s">
        <v>360</v>
      </c>
      <c r="I94" s="26" t="s">
        <v>361</v>
      </c>
      <c r="J94" s="26" t="s">
        <v>362</v>
      </c>
      <c r="K94" s="3" t="s">
        <v>17</v>
      </c>
      <c r="L94" s="28">
        <v>93</v>
      </c>
    </row>
    <row r="95" spans="1:12" ht="24.95" customHeight="1" thickBot="1" x14ac:dyDescent="0.45">
      <c r="A95" s="5" t="s">
        <v>804</v>
      </c>
      <c r="B95" s="6">
        <v>48134622</v>
      </c>
      <c r="C95" s="6">
        <v>0</v>
      </c>
      <c r="D95" s="6">
        <v>1180000</v>
      </c>
      <c r="E95" s="9" t="s">
        <v>363</v>
      </c>
      <c r="F95" s="5"/>
      <c r="G95" s="29" t="s">
        <v>364</v>
      </c>
      <c r="H95" s="31" t="s">
        <v>365</v>
      </c>
      <c r="I95" s="29" t="s">
        <v>366</v>
      </c>
      <c r="J95" s="29" t="s">
        <v>367</v>
      </c>
      <c r="K95" s="5" t="s">
        <v>17</v>
      </c>
      <c r="L95" s="30">
        <v>94</v>
      </c>
    </row>
    <row r="96" spans="1:12" ht="24.95" customHeight="1" thickBot="1" x14ac:dyDescent="0.45">
      <c r="A96" s="3" t="s">
        <v>817</v>
      </c>
      <c r="B96" s="4">
        <v>49314622</v>
      </c>
      <c r="C96" s="4">
        <v>0</v>
      </c>
      <c r="D96" s="4">
        <v>43000000</v>
      </c>
      <c r="E96" s="8" t="s">
        <v>368</v>
      </c>
      <c r="F96" s="3"/>
      <c r="G96" s="26" t="s">
        <v>369</v>
      </c>
      <c r="H96" s="27" t="s">
        <v>370</v>
      </c>
      <c r="I96" s="26" t="s">
        <v>371</v>
      </c>
      <c r="J96" s="26" t="s">
        <v>367</v>
      </c>
      <c r="K96" s="3" t="s">
        <v>17</v>
      </c>
      <c r="L96" s="28">
        <v>95</v>
      </c>
    </row>
    <row r="97" spans="1:12" ht="24.95" customHeight="1" thickBot="1" x14ac:dyDescent="0.45">
      <c r="A97" s="5" t="s">
        <v>800</v>
      </c>
      <c r="B97" s="6">
        <v>92314622</v>
      </c>
      <c r="C97" s="6">
        <v>0</v>
      </c>
      <c r="D97" s="6">
        <v>18400</v>
      </c>
      <c r="E97" s="10" t="s">
        <v>79</v>
      </c>
      <c r="F97" s="5"/>
      <c r="G97" s="29" t="s">
        <v>369</v>
      </c>
      <c r="H97" s="31" t="s">
        <v>370</v>
      </c>
      <c r="I97" s="29" t="s">
        <v>371</v>
      </c>
      <c r="J97" s="29" t="s">
        <v>367</v>
      </c>
      <c r="K97" s="5" t="s">
        <v>17</v>
      </c>
      <c r="L97" s="30">
        <v>96</v>
      </c>
    </row>
    <row r="98" spans="1:12" ht="24.95" customHeight="1" thickBot="1" x14ac:dyDescent="0.45">
      <c r="A98" s="3" t="s">
        <v>804</v>
      </c>
      <c r="B98" s="4">
        <v>92333022</v>
      </c>
      <c r="C98" s="4">
        <v>0</v>
      </c>
      <c r="D98" s="4">
        <v>1975976</v>
      </c>
      <c r="E98" s="8" t="s">
        <v>372</v>
      </c>
      <c r="F98" s="3"/>
      <c r="G98" s="26" t="s">
        <v>373</v>
      </c>
      <c r="H98" s="27" t="s">
        <v>374</v>
      </c>
      <c r="I98" s="26" t="s">
        <v>375</v>
      </c>
      <c r="J98" s="26" t="s">
        <v>367</v>
      </c>
      <c r="K98" s="3" t="s">
        <v>17</v>
      </c>
      <c r="L98" s="28">
        <v>97</v>
      </c>
    </row>
    <row r="99" spans="1:12" ht="24.95" customHeight="1" thickBot="1" x14ac:dyDescent="0.45">
      <c r="A99" s="5" t="s">
        <v>804</v>
      </c>
      <c r="B99" s="6">
        <v>94308998</v>
      </c>
      <c r="C99" s="6">
        <v>0</v>
      </c>
      <c r="D99" s="6">
        <v>689000</v>
      </c>
      <c r="E99" s="9" t="s">
        <v>376</v>
      </c>
      <c r="F99" s="5"/>
      <c r="G99" s="29" t="s">
        <v>377</v>
      </c>
      <c r="H99" s="31" t="s">
        <v>378</v>
      </c>
      <c r="I99" s="29" t="s">
        <v>379</v>
      </c>
      <c r="J99" s="29" t="s">
        <v>380</v>
      </c>
      <c r="K99" s="5" t="s">
        <v>17</v>
      </c>
      <c r="L99" s="30">
        <v>98</v>
      </c>
    </row>
    <row r="100" spans="1:12" ht="24.95" customHeight="1" thickBot="1" x14ac:dyDescent="0.45">
      <c r="A100" s="33" t="s">
        <v>2</v>
      </c>
      <c r="B100" s="4">
        <v>94997998</v>
      </c>
      <c r="C100" s="23">
        <v>8200000</v>
      </c>
      <c r="D100" s="4">
        <v>0</v>
      </c>
      <c r="E100" s="8" t="s">
        <v>381</v>
      </c>
      <c r="F100" s="3">
        <v>45</v>
      </c>
      <c r="G100" s="26" t="s">
        <v>382</v>
      </c>
      <c r="H100" s="27" t="s">
        <v>383</v>
      </c>
      <c r="I100" s="26" t="s">
        <v>384</v>
      </c>
      <c r="J100" s="26" t="s">
        <v>380</v>
      </c>
      <c r="K100" s="3" t="s">
        <v>17</v>
      </c>
      <c r="L100" s="28">
        <v>99</v>
      </c>
    </row>
    <row r="101" spans="1:12" ht="24.95" customHeight="1" thickBot="1" x14ac:dyDescent="0.45">
      <c r="A101" s="33" t="s">
        <v>2</v>
      </c>
      <c r="B101" s="6">
        <v>86797998</v>
      </c>
      <c r="C101" s="23">
        <v>12450000</v>
      </c>
      <c r="D101" s="6">
        <v>0</v>
      </c>
      <c r="E101" s="9" t="s">
        <v>385</v>
      </c>
      <c r="F101" s="5">
        <v>46</v>
      </c>
      <c r="G101" s="29" t="s">
        <v>386</v>
      </c>
      <c r="H101" s="31" t="s">
        <v>387</v>
      </c>
      <c r="I101" s="29" t="s">
        <v>388</v>
      </c>
      <c r="J101" s="29" t="s">
        <v>380</v>
      </c>
      <c r="K101" s="5" t="s">
        <v>17</v>
      </c>
      <c r="L101" s="30">
        <v>100</v>
      </c>
    </row>
    <row r="102" spans="1:12" ht="24.95" customHeight="1" thickBot="1" x14ac:dyDescent="0.45">
      <c r="A102" s="3" t="s">
        <v>816</v>
      </c>
      <c r="B102" s="4">
        <v>74347998</v>
      </c>
      <c r="C102" s="4">
        <v>0</v>
      </c>
      <c r="D102" s="4">
        <v>56500000</v>
      </c>
      <c r="E102" s="8" t="s">
        <v>389</v>
      </c>
      <c r="F102" s="3"/>
      <c r="G102" s="26" t="s">
        <v>390</v>
      </c>
      <c r="H102" s="27" t="s">
        <v>391</v>
      </c>
      <c r="I102" s="26" t="s">
        <v>392</v>
      </c>
      <c r="J102" s="26" t="s">
        <v>393</v>
      </c>
      <c r="K102" s="3" t="s">
        <v>17</v>
      </c>
      <c r="L102" s="28">
        <v>101</v>
      </c>
    </row>
    <row r="103" spans="1:12" ht="24.95" customHeight="1" thickBot="1" x14ac:dyDescent="0.45">
      <c r="A103" s="5" t="s">
        <v>800</v>
      </c>
      <c r="B103" s="6">
        <v>130847998</v>
      </c>
      <c r="C103" s="6">
        <v>0</v>
      </c>
      <c r="D103" s="6">
        <v>21200</v>
      </c>
      <c r="E103" s="10" t="s">
        <v>79</v>
      </c>
      <c r="F103" s="5"/>
      <c r="G103" s="29" t="s">
        <v>390</v>
      </c>
      <c r="H103" s="31" t="s">
        <v>391</v>
      </c>
      <c r="I103" s="29" t="s">
        <v>392</v>
      </c>
      <c r="J103" s="29" t="s">
        <v>393</v>
      </c>
      <c r="K103" s="5" t="s">
        <v>17</v>
      </c>
      <c r="L103" s="30">
        <v>102</v>
      </c>
    </row>
    <row r="104" spans="1:12" ht="24.95" customHeight="1" thickBot="1" x14ac:dyDescent="0.45">
      <c r="A104" s="3" t="s">
        <v>837</v>
      </c>
      <c r="B104" s="4">
        <v>130869198</v>
      </c>
      <c r="C104" s="4">
        <v>0</v>
      </c>
      <c r="D104" s="4">
        <v>20000000</v>
      </c>
      <c r="E104" s="8" t="s">
        <v>394</v>
      </c>
      <c r="F104" s="3"/>
      <c r="G104" s="26" t="s">
        <v>395</v>
      </c>
      <c r="H104" s="27" t="s">
        <v>396</v>
      </c>
      <c r="I104" s="26" t="s">
        <v>397</v>
      </c>
      <c r="J104" s="26" t="s">
        <v>393</v>
      </c>
      <c r="K104" s="3" t="s">
        <v>17</v>
      </c>
      <c r="L104" s="28">
        <v>103</v>
      </c>
    </row>
    <row r="105" spans="1:12" ht="24.95" customHeight="1" thickBot="1" x14ac:dyDescent="0.45">
      <c r="A105" s="5" t="s">
        <v>800</v>
      </c>
      <c r="B105" s="6">
        <v>150869198</v>
      </c>
      <c r="C105" s="6">
        <v>0</v>
      </c>
      <c r="D105" s="6">
        <v>10000</v>
      </c>
      <c r="E105" s="10" t="s">
        <v>79</v>
      </c>
      <c r="F105" s="5"/>
      <c r="G105" s="29" t="s">
        <v>395</v>
      </c>
      <c r="H105" s="31" t="s">
        <v>396</v>
      </c>
      <c r="I105" s="29" t="s">
        <v>397</v>
      </c>
      <c r="J105" s="29" t="s">
        <v>393</v>
      </c>
      <c r="K105" s="5" t="s">
        <v>17</v>
      </c>
      <c r="L105" s="30">
        <v>104</v>
      </c>
    </row>
    <row r="106" spans="1:12" ht="24.95" customHeight="1" thickBot="1" x14ac:dyDescent="0.45">
      <c r="A106" s="3" t="s">
        <v>804</v>
      </c>
      <c r="B106" s="4">
        <v>150879198</v>
      </c>
      <c r="C106" s="4">
        <v>0</v>
      </c>
      <c r="D106" s="4">
        <v>1580336</v>
      </c>
      <c r="E106" s="8" t="s">
        <v>398</v>
      </c>
      <c r="F106" s="3"/>
      <c r="G106" s="26" t="s">
        <v>399</v>
      </c>
      <c r="H106" s="27" t="s">
        <v>400</v>
      </c>
      <c r="I106" s="26" t="s">
        <v>401</v>
      </c>
      <c r="J106" s="26" t="s">
        <v>393</v>
      </c>
      <c r="K106" s="3" t="s">
        <v>17</v>
      </c>
      <c r="L106" s="28">
        <v>105</v>
      </c>
    </row>
    <row r="107" spans="1:12" ht="24.95" customHeight="1" thickBot="1" x14ac:dyDescent="0.45">
      <c r="A107" s="5" t="s">
        <v>804</v>
      </c>
      <c r="B107" s="6">
        <v>152459534</v>
      </c>
      <c r="C107" s="6">
        <v>0</v>
      </c>
      <c r="D107" s="6">
        <v>5750000</v>
      </c>
      <c r="E107" s="9" t="s">
        <v>402</v>
      </c>
      <c r="F107" s="5"/>
      <c r="G107" s="29" t="s">
        <v>403</v>
      </c>
      <c r="H107" s="31" t="s">
        <v>404</v>
      </c>
      <c r="I107" s="29" t="s">
        <v>405</v>
      </c>
      <c r="J107" s="29" t="s">
        <v>406</v>
      </c>
      <c r="K107" s="5" t="s">
        <v>17</v>
      </c>
      <c r="L107" s="30">
        <v>106</v>
      </c>
    </row>
    <row r="108" spans="1:12" ht="24.95" customHeight="1" thickBot="1" x14ac:dyDescent="0.45">
      <c r="A108" s="3" t="s">
        <v>804</v>
      </c>
      <c r="B108" s="4">
        <v>158209534</v>
      </c>
      <c r="C108" s="4">
        <v>0</v>
      </c>
      <c r="D108" s="4">
        <v>1100000</v>
      </c>
      <c r="E108" s="8" t="s">
        <v>407</v>
      </c>
      <c r="F108" s="3"/>
      <c r="G108" s="26" t="s">
        <v>408</v>
      </c>
      <c r="H108" s="27" t="s">
        <v>409</v>
      </c>
      <c r="I108" s="26" t="s">
        <v>410</v>
      </c>
      <c r="J108" s="26" t="s">
        <v>406</v>
      </c>
      <c r="K108" s="3" t="s">
        <v>17</v>
      </c>
      <c r="L108" s="28">
        <v>107</v>
      </c>
    </row>
    <row r="109" spans="1:12" ht="24.95" customHeight="1" thickBot="1" x14ac:dyDescent="0.45">
      <c r="A109" s="5" t="s">
        <v>806</v>
      </c>
      <c r="B109" s="6">
        <v>159309534</v>
      </c>
      <c r="C109" s="6">
        <v>0</v>
      </c>
      <c r="D109" s="6">
        <v>781000</v>
      </c>
      <c r="E109" s="9" t="s">
        <v>411</v>
      </c>
      <c r="F109" s="5"/>
      <c r="G109" s="29" t="s">
        <v>412</v>
      </c>
      <c r="H109" s="31" t="s">
        <v>413</v>
      </c>
      <c r="I109" s="29" t="s">
        <v>414</v>
      </c>
      <c r="J109" s="29" t="s">
        <v>415</v>
      </c>
      <c r="K109" s="5" t="s">
        <v>17</v>
      </c>
      <c r="L109" s="30">
        <v>108</v>
      </c>
    </row>
    <row r="110" spans="1:12" ht="24.95" customHeight="1" thickBot="1" x14ac:dyDescent="0.45">
      <c r="A110" s="3" t="s">
        <v>802</v>
      </c>
      <c r="B110" s="4">
        <v>160090534</v>
      </c>
      <c r="C110" s="4">
        <v>0</v>
      </c>
      <c r="D110" s="4">
        <v>20000000</v>
      </c>
      <c r="E110" s="8" t="s">
        <v>416</v>
      </c>
      <c r="F110" s="3"/>
      <c r="G110" s="26" t="s">
        <v>417</v>
      </c>
      <c r="H110" s="27" t="s">
        <v>418</v>
      </c>
      <c r="I110" s="26" t="s">
        <v>419</v>
      </c>
      <c r="J110" s="26" t="s">
        <v>415</v>
      </c>
      <c r="K110" s="3" t="s">
        <v>17</v>
      </c>
      <c r="L110" s="28">
        <v>109</v>
      </c>
    </row>
    <row r="111" spans="1:12" ht="24.95" customHeight="1" thickBot="1" x14ac:dyDescent="0.45">
      <c r="A111" s="5" t="s">
        <v>800</v>
      </c>
      <c r="B111" s="6">
        <v>180090534</v>
      </c>
      <c r="C111" s="6">
        <v>0</v>
      </c>
      <c r="D111" s="6">
        <v>10000</v>
      </c>
      <c r="E111" s="10" t="s">
        <v>79</v>
      </c>
      <c r="F111" s="5"/>
      <c r="G111" s="29" t="s">
        <v>417</v>
      </c>
      <c r="H111" s="31" t="s">
        <v>418</v>
      </c>
      <c r="I111" s="29" t="s">
        <v>419</v>
      </c>
      <c r="J111" s="29" t="s">
        <v>415</v>
      </c>
      <c r="K111" s="5" t="s">
        <v>17</v>
      </c>
      <c r="L111" s="30">
        <v>110</v>
      </c>
    </row>
    <row r="112" spans="1:12" ht="24.95" customHeight="1" thickBot="1" x14ac:dyDescent="0.45">
      <c r="A112" s="3" t="s">
        <v>802</v>
      </c>
      <c r="B112" s="4">
        <v>180100534</v>
      </c>
      <c r="C112" s="4">
        <v>0</v>
      </c>
      <c r="D112" s="4">
        <v>1200000</v>
      </c>
      <c r="E112" s="8" t="s">
        <v>420</v>
      </c>
      <c r="F112" s="3"/>
      <c r="G112" s="26" t="s">
        <v>421</v>
      </c>
      <c r="H112" s="27" t="s">
        <v>422</v>
      </c>
      <c r="I112" s="26" t="s">
        <v>423</v>
      </c>
      <c r="J112" s="26" t="s">
        <v>424</v>
      </c>
      <c r="K112" s="3" t="s">
        <v>17</v>
      </c>
      <c r="L112" s="28">
        <v>111</v>
      </c>
    </row>
    <row r="113" spans="1:12" ht="24.95" customHeight="1" thickBot="1" x14ac:dyDescent="0.45">
      <c r="A113" s="5" t="s">
        <v>800</v>
      </c>
      <c r="B113" s="6">
        <v>181300534</v>
      </c>
      <c r="C113" s="6">
        <v>0</v>
      </c>
      <c r="D113" s="6">
        <v>7200</v>
      </c>
      <c r="E113" s="10" t="s">
        <v>79</v>
      </c>
      <c r="F113" s="5"/>
      <c r="G113" s="29" t="s">
        <v>421</v>
      </c>
      <c r="H113" s="31" t="s">
        <v>422</v>
      </c>
      <c r="I113" s="29" t="s">
        <v>423</v>
      </c>
      <c r="J113" s="29" t="s">
        <v>424</v>
      </c>
      <c r="K113" s="5" t="s">
        <v>17</v>
      </c>
      <c r="L113" s="30">
        <v>112</v>
      </c>
    </row>
    <row r="114" spans="1:12" ht="24.95" customHeight="1" thickBot="1" x14ac:dyDescent="0.45">
      <c r="A114" s="3" t="s">
        <v>812</v>
      </c>
      <c r="B114" s="4">
        <v>181307734</v>
      </c>
      <c r="C114" s="4">
        <v>0</v>
      </c>
      <c r="D114" s="4">
        <v>20880000</v>
      </c>
      <c r="E114" s="8" t="s">
        <v>425</v>
      </c>
      <c r="F114" s="3"/>
      <c r="G114" s="26" t="s">
        <v>426</v>
      </c>
      <c r="H114" s="27" t="s">
        <v>427</v>
      </c>
      <c r="I114" s="26" t="s">
        <v>428</v>
      </c>
      <c r="J114" s="26" t="s">
        <v>424</v>
      </c>
      <c r="K114" s="3" t="s">
        <v>17</v>
      </c>
      <c r="L114" s="28">
        <v>113</v>
      </c>
    </row>
    <row r="115" spans="1:12" ht="24.95" customHeight="1" thickBot="1" x14ac:dyDescent="0.45">
      <c r="A115" s="5" t="s">
        <v>800</v>
      </c>
      <c r="B115" s="6">
        <v>202187734</v>
      </c>
      <c r="C115" s="6">
        <v>0</v>
      </c>
      <c r="D115" s="6">
        <v>12800</v>
      </c>
      <c r="E115" s="10" t="s">
        <v>79</v>
      </c>
      <c r="F115" s="5"/>
      <c r="G115" s="29" t="s">
        <v>426</v>
      </c>
      <c r="H115" s="31" t="s">
        <v>427</v>
      </c>
      <c r="I115" s="29" t="s">
        <v>428</v>
      </c>
      <c r="J115" s="29" t="s">
        <v>424</v>
      </c>
      <c r="K115" s="5" t="s">
        <v>17</v>
      </c>
      <c r="L115" s="30">
        <v>114</v>
      </c>
    </row>
    <row r="116" spans="1:12" ht="24.95" customHeight="1" thickBot="1" x14ac:dyDescent="0.45">
      <c r="A116" s="3" t="s">
        <v>840</v>
      </c>
      <c r="B116" s="4">
        <v>202200534</v>
      </c>
      <c r="C116" s="4">
        <v>0</v>
      </c>
      <c r="D116" s="4">
        <v>4050000</v>
      </c>
      <c r="E116" s="8" t="s">
        <v>429</v>
      </c>
      <c r="F116" s="3"/>
      <c r="G116" s="26" t="s">
        <v>430</v>
      </c>
      <c r="H116" s="27" t="s">
        <v>431</v>
      </c>
      <c r="I116" s="26" t="s">
        <v>432</v>
      </c>
      <c r="J116" s="26" t="s">
        <v>424</v>
      </c>
      <c r="K116" s="3" t="s">
        <v>17</v>
      </c>
      <c r="L116" s="28">
        <v>115</v>
      </c>
    </row>
    <row r="117" spans="1:12" ht="24.95" customHeight="1" thickBot="1" x14ac:dyDescent="0.45">
      <c r="A117" s="33" t="s">
        <v>2</v>
      </c>
      <c r="B117" s="6">
        <v>206250534</v>
      </c>
      <c r="C117" s="23">
        <v>80000000</v>
      </c>
      <c r="D117" s="6">
        <v>0</v>
      </c>
      <c r="E117" s="9" t="s">
        <v>433</v>
      </c>
      <c r="F117" s="5">
        <v>58</v>
      </c>
      <c r="G117" s="29" t="s">
        <v>434</v>
      </c>
      <c r="H117" s="31" t="s">
        <v>435</v>
      </c>
      <c r="I117" s="29" t="s">
        <v>436</v>
      </c>
      <c r="J117" s="29" t="s">
        <v>424</v>
      </c>
      <c r="K117" s="5" t="s">
        <v>17</v>
      </c>
      <c r="L117" s="30">
        <v>116</v>
      </c>
    </row>
    <row r="118" spans="1:12" ht="24.95" customHeight="1" thickBot="1" x14ac:dyDescent="0.45">
      <c r="A118" s="3" t="s">
        <v>802</v>
      </c>
      <c r="B118" s="4">
        <v>126250534</v>
      </c>
      <c r="C118" s="4">
        <v>0</v>
      </c>
      <c r="D118" s="4">
        <v>17000000</v>
      </c>
      <c r="E118" s="8" t="s">
        <v>437</v>
      </c>
      <c r="F118" s="3"/>
      <c r="G118" s="26" t="s">
        <v>438</v>
      </c>
      <c r="H118" s="27" t="s">
        <v>439</v>
      </c>
      <c r="I118" s="26" t="s">
        <v>440</v>
      </c>
      <c r="J118" s="26" t="s">
        <v>441</v>
      </c>
      <c r="K118" s="3" t="s">
        <v>17</v>
      </c>
      <c r="L118" s="28">
        <v>117</v>
      </c>
    </row>
    <row r="119" spans="1:12" ht="24.95" customHeight="1" thickBot="1" x14ac:dyDescent="0.45">
      <c r="A119" s="5" t="s">
        <v>800</v>
      </c>
      <c r="B119" s="6">
        <v>143250534</v>
      </c>
      <c r="C119" s="6">
        <v>0</v>
      </c>
      <c r="D119" s="6">
        <v>10000</v>
      </c>
      <c r="E119" s="10" t="s">
        <v>79</v>
      </c>
      <c r="F119" s="5"/>
      <c r="G119" s="29" t="s">
        <v>438</v>
      </c>
      <c r="H119" s="31" t="s">
        <v>439</v>
      </c>
      <c r="I119" s="29" t="s">
        <v>440</v>
      </c>
      <c r="J119" s="29" t="s">
        <v>441</v>
      </c>
      <c r="K119" s="5" t="s">
        <v>17</v>
      </c>
      <c r="L119" s="30">
        <v>118</v>
      </c>
    </row>
    <row r="120" spans="1:12" ht="24.95" customHeight="1" thickBot="1" x14ac:dyDescent="0.45">
      <c r="A120" s="3" t="s">
        <v>840</v>
      </c>
      <c r="B120" s="4">
        <v>143260534</v>
      </c>
      <c r="C120" s="4">
        <v>0</v>
      </c>
      <c r="D120" s="4">
        <v>300000</v>
      </c>
      <c r="E120" s="8" t="s">
        <v>442</v>
      </c>
      <c r="F120" s="3"/>
      <c r="G120" s="26" t="s">
        <v>443</v>
      </c>
      <c r="H120" s="27" t="s">
        <v>444</v>
      </c>
      <c r="I120" s="26" t="s">
        <v>445</v>
      </c>
      <c r="J120" s="26" t="s">
        <v>446</v>
      </c>
      <c r="K120" s="3" t="s">
        <v>17</v>
      </c>
      <c r="L120" s="28">
        <v>119</v>
      </c>
    </row>
    <row r="121" spans="1:12" ht="24.95" customHeight="1" thickBot="1" x14ac:dyDescent="0.45">
      <c r="A121" s="5" t="s">
        <v>815</v>
      </c>
      <c r="B121" s="6">
        <v>143560534</v>
      </c>
      <c r="C121" s="6">
        <v>0</v>
      </c>
      <c r="D121" s="6">
        <v>67800000</v>
      </c>
      <c r="E121" s="9" t="s">
        <v>447</v>
      </c>
      <c r="F121" s="5"/>
      <c r="G121" s="29" t="s">
        <v>448</v>
      </c>
      <c r="H121" s="31" t="s">
        <v>449</v>
      </c>
      <c r="I121" s="29" t="s">
        <v>450</v>
      </c>
      <c r="J121" s="29" t="s">
        <v>446</v>
      </c>
      <c r="K121" s="5" t="s">
        <v>17</v>
      </c>
      <c r="L121" s="30">
        <v>120</v>
      </c>
    </row>
    <row r="122" spans="1:12" ht="24.95" customHeight="1" thickBot="1" x14ac:dyDescent="0.45">
      <c r="A122" s="3" t="s">
        <v>800</v>
      </c>
      <c r="B122" s="4">
        <v>211360534</v>
      </c>
      <c r="C122" s="4">
        <v>0</v>
      </c>
      <c r="D122" s="4">
        <v>24000</v>
      </c>
      <c r="E122" s="11" t="s">
        <v>79</v>
      </c>
      <c r="F122" s="3"/>
      <c r="G122" s="26" t="s">
        <v>448</v>
      </c>
      <c r="H122" s="27" t="s">
        <v>449</v>
      </c>
      <c r="I122" s="26" t="s">
        <v>450</v>
      </c>
      <c r="J122" s="26" t="s">
        <v>446</v>
      </c>
      <c r="K122" s="3" t="s">
        <v>17</v>
      </c>
      <c r="L122" s="28">
        <v>121</v>
      </c>
    </row>
    <row r="123" spans="1:12" ht="24.95" customHeight="1" thickBot="1" x14ac:dyDescent="0.45">
      <c r="A123" s="5" t="s">
        <v>840</v>
      </c>
      <c r="B123" s="6">
        <v>211384534</v>
      </c>
      <c r="C123" s="6">
        <v>0</v>
      </c>
      <c r="D123" s="6">
        <v>1000000</v>
      </c>
      <c r="E123" s="9" t="s">
        <v>451</v>
      </c>
      <c r="F123" s="5"/>
      <c r="G123" s="29" t="s">
        <v>452</v>
      </c>
      <c r="H123" s="31" t="s">
        <v>453</v>
      </c>
      <c r="I123" s="29" t="s">
        <v>454</v>
      </c>
      <c r="J123" s="29" t="s">
        <v>446</v>
      </c>
      <c r="K123" s="5" t="s">
        <v>17</v>
      </c>
      <c r="L123" s="30">
        <v>122</v>
      </c>
    </row>
    <row r="124" spans="1:12" ht="24.95" customHeight="1" thickBot="1" x14ac:dyDescent="0.45">
      <c r="A124" s="3" t="s">
        <v>834</v>
      </c>
      <c r="B124" s="4">
        <v>212384534</v>
      </c>
      <c r="C124" s="4">
        <v>0</v>
      </c>
      <c r="D124" s="4">
        <v>22000000</v>
      </c>
      <c r="E124" s="8" t="s">
        <v>455</v>
      </c>
      <c r="F124" s="3"/>
      <c r="G124" s="26" t="s">
        <v>456</v>
      </c>
      <c r="H124" s="27" t="s">
        <v>457</v>
      </c>
      <c r="I124" s="26" t="s">
        <v>458</v>
      </c>
      <c r="J124" s="26" t="s">
        <v>459</v>
      </c>
      <c r="K124" s="3" t="s">
        <v>17</v>
      </c>
      <c r="L124" s="28">
        <v>123</v>
      </c>
    </row>
    <row r="125" spans="1:12" ht="24.95" customHeight="1" thickBot="1" x14ac:dyDescent="0.45">
      <c r="A125" s="5" t="s">
        <v>800</v>
      </c>
      <c r="B125" s="6">
        <v>234384534</v>
      </c>
      <c r="C125" s="6">
        <v>0</v>
      </c>
      <c r="D125" s="6">
        <v>12800</v>
      </c>
      <c r="E125" s="10" t="s">
        <v>79</v>
      </c>
      <c r="F125" s="5"/>
      <c r="G125" s="29" t="s">
        <v>456</v>
      </c>
      <c r="H125" s="31" t="s">
        <v>457</v>
      </c>
      <c r="I125" s="29" t="s">
        <v>458</v>
      </c>
      <c r="J125" s="29" t="s">
        <v>459</v>
      </c>
      <c r="K125" s="5" t="s">
        <v>17</v>
      </c>
      <c r="L125" s="30">
        <v>124</v>
      </c>
    </row>
    <row r="126" spans="1:12" ht="24.95" customHeight="1" thickBot="1" x14ac:dyDescent="0.45">
      <c r="A126" s="3" t="s">
        <v>835</v>
      </c>
      <c r="B126" s="4">
        <v>234397334</v>
      </c>
      <c r="C126" s="4">
        <v>0</v>
      </c>
      <c r="D126" s="4">
        <v>30960000</v>
      </c>
      <c r="E126" s="8" t="s">
        <v>460</v>
      </c>
      <c r="F126" s="3"/>
      <c r="G126" s="26" t="s">
        <v>461</v>
      </c>
      <c r="H126" s="27" t="s">
        <v>462</v>
      </c>
      <c r="I126" s="26" t="s">
        <v>463</v>
      </c>
      <c r="J126" s="26" t="s">
        <v>459</v>
      </c>
      <c r="K126" s="3" t="s">
        <v>17</v>
      </c>
      <c r="L126" s="28">
        <v>125</v>
      </c>
    </row>
    <row r="127" spans="1:12" ht="24.95" customHeight="1" thickBot="1" x14ac:dyDescent="0.45">
      <c r="A127" s="5" t="s">
        <v>800</v>
      </c>
      <c r="B127" s="6">
        <v>265357334</v>
      </c>
      <c r="C127" s="6">
        <v>0</v>
      </c>
      <c r="D127" s="6">
        <v>15600</v>
      </c>
      <c r="E127" s="10" t="s">
        <v>79</v>
      </c>
      <c r="F127" s="5"/>
      <c r="G127" s="29" t="s">
        <v>461</v>
      </c>
      <c r="H127" s="31" t="s">
        <v>462</v>
      </c>
      <c r="I127" s="29" t="s">
        <v>463</v>
      </c>
      <c r="J127" s="29" t="s">
        <v>459</v>
      </c>
      <c r="K127" s="5" t="s">
        <v>17</v>
      </c>
      <c r="L127" s="30">
        <v>126</v>
      </c>
    </row>
    <row r="128" spans="1:12" ht="24.95" customHeight="1" thickBot="1" x14ac:dyDescent="0.45">
      <c r="A128" s="26" t="s">
        <v>814</v>
      </c>
      <c r="B128" s="4">
        <v>265372934</v>
      </c>
      <c r="C128" s="4">
        <v>0</v>
      </c>
      <c r="D128" s="4">
        <v>5670000</v>
      </c>
      <c r="E128" s="8" t="s">
        <v>464</v>
      </c>
      <c r="F128" s="3"/>
      <c r="G128" s="26" t="s">
        <v>465</v>
      </c>
      <c r="H128" s="27" t="s">
        <v>466</v>
      </c>
      <c r="I128" s="26" t="s">
        <v>467</v>
      </c>
      <c r="J128" s="26" t="s">
        <v>459</v>
      </c>
      <c r="K128" s="3" t="s">
        <v>17</v>
      </c>
      <c r="L128" s="28">
        <v>127</v>
      </c>
    </row>
    <row r="129" spans="1:12" ht="24.95" customHeight="1" thickBot="1" x14ac:dyDescent="0.45">
      <c r="A129" s="5" t="s">
        <v>800</v>
      </c>
      <c r="B129" s="6">
        <v>271042934</v>
      </c>
      <c r="C129" s="6">
        <v>0</v>
      </c>
      <c r="D129" s="6">
        <v>7200</v>
      </c>
      <c r="E129" s="10" t="s">
        <v>79</v>
      </c>
      <c r="F129" s="5"/>
      <c r="G129" s="29" t="s">
        <v>465</v>
      </c>
      <c r="H129" s="31" t="s">
        <v>466</v>
      </c>
      <c r="I129" s="29" t="s">
        <v>467</v>
      </c>
      <c r="J129" s="29" t="s">
        <v>459</v>
      </c>
      <c r="K129" s="5" t="s">
        <v>17</v>
      </c>
      <c r="L129" s="30">
        <v>128</v>
      </c>
    </row>
    <row r="130" spans="1:12" ht="24.95" customHeight="1" thickBot="1" x14ac:dyDescent="0.45">
      <c r="A130" s="3" t="s">
        <v>814</v>
      </c>
      <c r="B130" s="4">
        <v>271050134</v>
      </c>
      <c r="C130" s="4">
        <v>0</v>
      </c>
      <c r="D130" s="4">
        <v>630000</v>
      </c>
      <c r="E130" s="8" t="s">
        <v>468</v>
      </c>
      <c r="F130" s="3"/>
      <c r="G130" s="26" t="s">
        <v>469</v>
      </c>
      <c r="H130" s="27" t="s">
        <v>470</v>
      </c>
      <c r="I130" s="26" t="s">
        <v>471</v>
      </c>
      <c r="J130" s="26" t="s">
        <v>459</v>
      </c>
      <c r="K130" s="3" t="s">
        <v>17</v>
      </c>
      <c r="L130" s="28">
        <v>129</v>
      </c>
    </row>
    <row r="131" spans="1:12" ht="24.95" customHeight="1" thickBot="1" x14ac:dyDescent="0.45">
      <c r="A131" s="5" t="s">
        <v>800</v>
      </c>
      <c r="B131" s="6">
        <v>271680134</v>
      </c>
      <c r="C131" s="6">
        <v>0</v>
      </c>
      <c r="D131" s="6">
        <v>7200</v>
      </c>
      <c r="E131" s="10" t="s">
        <v>79</v>
      </c>
      <c r="F131" s="5"/>
      <c r="G131" s="29" t="s">
        <v>469</v>
      </c>
      <c r="H131" s="31" t="s">
        <v>470</v>
      </c>
      <c r="I131" s="29" t="s">
        <v>471</v>
      </c>
      <c r="J131" s="29" t="s">
        <v>459</v>
      </c>
      <c r="K131" s="5" t="s">
        <v>17</v>
      </c>
      <c r="L131" s="30">
        <v>130</v>
      </c>
    </row>
    <row r="132" spans="1:12" ht="24.95" customHeight="1" thickBot="1" x14ac:dyDescent="0.45">
      <c r="A132" s="3" t="s">
        <v>806</v>
      </c>
      <c r="B132" s="4">
        <v>271687334</v>
      </c>
      <c r="C132" s="4">
        <v>0</v>
      </c>
      <c r="D132" s="4">
        <v>200000</v>
      </c>
      <c r="E132" s="8" t="s">
        <v>472</v>
      </c>
      <c r="F132" s="3"/>
      <c r="G132" s="26" t="s">
        <v>473</v>
      </c>
      <c r="H132" s="27" t="s">
        <v>474</v>
      </c>
      <c r="I132" s="26" t="s">
        <v>475</v>
      </c>
      <c r="J132" s="26" t="s">
        <v>476</v>
      </c>
      <c r="K132" s="3" t="s">
        <v>17</v>
      </c>
      <c r="L132" s="28">
        <v>131</v>
      </c>
    </row>
    <row r="133" spans="1:12" ht="24.95" customHeight="1" thickBot="1" x14ac:dyDescent="0.45">
      <c r="A133" s="5" t="s">
        <v>807</v>
      </c>
      <c r="B133" s="6">
        <v>271887334</v>
      </c>
      <c r="C133" s="6">
        <v>0</v>
      </c>
      <c r="D133" s="6">
        <v>500000</v>
      </c>
      <c r="E133" s="9" t="s">
        <v>477</v>
      </c>
      <c r="F133" s="5"/>
      <c r="G133" s="29" t="s">
        <v>478</v>
      </c>
      <c r="H133" s="31" t="s">
        <v>479</v>
      </c>
      <c r="I133" s="29" t="s">
        <v>480</v>
      </c>
      <c r="J133" s="29" t="s">
        <v>476</v>
      </c>
      <c r="K133" s="5" t="s">
        <v>17</v>
      </c>
      <c r="L133" s="30">
        <v>132</v>
      </c>
    </row>
    <row r="134" spans="1:12" ht="24.95" customHeight="1" thickBot="1" x14ac:dyDescent="0.45">
      <c r="A134" s="3" t="s">
        <v>840</v>
      </c>
      <c r="B134" s="4">
        <v>272387334</v>
      </c>
      <c r="C134" s="4">
        <v>0</v>
      </c>
      <c r="D134" s="4">
        <v>740000</v>
      </c>
      <c r="E134" s="8" t="s">
        <v>481</v>
      </c>
      <c r="F134" s="3"/>
      <c r="G134" s="26" t="s">
        <v>482</v>
      </c>
      <c r="H134" s="27" t="s">
        <v>483</v>
      </c>
      <c r="I134" s="26" t="s">
        <v>484</v>
      </c>
      <c r="J134" s="26" t="s">
        <v>476</v>
      </c>
      <c r="K134" s="3" t="s">
        <v>17</v>
      </c>
      <c r="L134" s="28">
        <v>133</v>
      </c>
    </row>
    <row r="135" spans="1:12" ht="24.95" customHeight="1" thickBot="1" x14ac:dyDescent="0.45">
      <c r="A135" s="5" t="s">
        <v>836</v>
      </c>
      <c r="B135" s="6">
        <v>273127334</v>
      </c>
      <c r="C135" s="6">
        <v>0</v>
      </c>
      <c r="D135" s="6">
        <v>100000000</v>
      </c>
      <c r="E135" s="14" t="s">
        <v>485</v>
      </c>
      <c r="F135" s="5"/>
      <c r="G135" s="29" t="s">
        <v>486</v>
      </c>
      <c r="H135" s="31" t="s">
        <v>487</v>
      </c>
      <c r="I135" s="29" t="s">
        <v>488</v>
      </c>
      <c r="J135" s="29" t="s">
        <v>476</v>
      </c>
      <c r="K135" s="5" t="s">
        <v>17</v>
      </c>
      <c r="L135" s="30">
        <v>134</v>
      </c>
    </row>
    <row r="136" spans="1:12" ht="24.95" customHeight="1" thickBot="1" x14ac:dyDescent="0.45">
      <c r="A136" s="3" t="s">
        <v>800</v>
      </c>
      <c r="B136" s="4">
        <v>373127334</v>
      </c>
      <c r="C136" s="4">
        <v>0</v>
      </c>
      <c r="D136" s="4">
        <v>10000</v>
      </c>
      <c r="E136" s="15" t="s">
        <v>489</v>
      </c>
      <c r="F136" s="3"/>
      <c r="G136" s="26" t="s">
        <v>486</v>
      </c>
      <c r="H136" s="27" t="s">
        <v>487</v>
      </c>
      <c r="I136" s="26" t="s">
        <v>488</v>
      </c>
      <c r="J136" s="26" t="s">
        <v>476</v>
      </c>
      <c r="K136" s="3" t="s">
        <v>17</v>
      </c>
      <c r="L136" s="28">
        <v>135</v>
      </c>
    </row>
    <row r="137" spans="1:12" ht="24.95" customHeight="1" thickBot="1" x14ac:dyDescent="0.45">
      <c r="A137" s="29" t="s">
        <v>816</v>
      </c>
      <c r="B137" s="6">
        <v>373137334</v>
      </c>
      <c r="C137" s="6">
        <v>0</v>
      </c>
      <c r="D137" s="6">
        <v>96000000</v>
      </c>
      <c r="E137" s="9" t="s">
        <v>490</v>
      </c>
      <c r="F137" s="5"/>
      <c r="G137" s="29" t="s">
        <v>491</v>
      </c>
      <c r="H137" s="31" t="s">
        <v>492</v>
      </c>
      <c r="I137" s="29" t="s">
        <v>493</v>
      </c>
      <c r="J137" s="29" t="s">
        <v>494</v>
      </c>
      <c r="K137" s="5" t="s">
        <v>17</v>
      </c>
      <c r="L137" s="30">
        <v>136</v>
      </c>
    </row>
    <row r="138" spans="1:12" ht="24.95" customHeight="1" thickBot="1" x14ac:dyDescent="0.45">
      <c r="A138" s="3" t="s">
        <v>800</v>
      </c>
      <c r="B138" s="4">
        <v>469137334</v>
      </c>
      <c r="C138" s="4">
        <v>0</v>
      </c>
      <c r="D138" s="4">
        <v>32400</v>
      </c>
      <c r="E138" s="11" t="s">
        <v>79</v>
      </c>
      <c r="F138" s="3"/>
      <c r="G138" s="26" t="s">
        <v>491</v>
      </c>
      <c r="H138" s="27" t="s">
        <v>492</v>
      </c>
      <c r="I138" s="26" t="s">
        <v>493</v>
      </c>
      <c r="J138" s="26" t="s">
        <v>494</v>
      </c>
      <c r="K138" s="3" t="s">
        <v>17</v>
      </c>
      <c r="L138" s="28">
        <v>137</v>
      </c>
    </row>
    <row r="139" spans="1:12" ht="24.95" customHeight="1" thickBot="1" x14ac:dyDescent="0.45">
      <c r="A139" s="5" t="s">
        <v>816</v>
      </c>
      <c r="B139" s="6">
        <v>469169734</v>
      </c>
      <c r="C139" s="6">
        <v>0</v>
      </c>
      <c r="D139" s="6">
        <v>100000000</v>
      </c>
      <c r="E139" s="9" t="s">
        <v>495</v>
      </c>
      <c r="F139" s="5"/>
      <c r="G139" s="29" t="s">
        <v>496</v>
      </c>
      <c r="H139" s="31" t="s">
        <v>497</v>
      </c>
      <c r="I139" s="29" t="s">
        <v>498</v>
      </c>
      <c r="J139" s="29" t="s">
        <v>499</v>
      </c>
      <c r="K139" s="5" t="s">
        <v>17</v>
      </c>
      <c r="L139" s="30">
        <v>138</v>
      </c>
    </row>
    <row r="140" spans="1:12" ht="24.95" customHeight="1" thickBot="1" x14ac:dyDescent="0.45">
      <c r="A140" s="3" t="s">
        <v>800</v>
      </c>
      <c r="B140" s="4">
        <v>569169734</v>
      </c>
      <c r="C140" s="4">
        <v>0</v>
      </c>
      <c r="D140" s="4">
        <v>32400</v>
      </c>
      <c r="E140" s="11" t="s">
        <v>79</v>
      </c>
      <c r="F140" s="3"/>
      <c r="G140" s="26" t="s">
        <v>496</v>
      </c>
      <c r="H140" s="27" t="s">
        <v>497</v>
      </c>
      <c r="I140" s="26" t="s">
        <v>498</v>
      </c>
      <c r="J140" s="26" t="s">
        <v>499</v>
      </c>
      <c r="K140" s="3" t="s">
        <v>17</v>
      </c>
      <c r="L140" s="28">
        <v>139</v>
      </c>
    </row>
    <row r="141" spans="1:12" ht="24.95" customHeight="1" thickBot="1" x14ac:dyDescent="0.45">
      <c r="A141" s="33" t="s">
        <v>2</v>
      </c>
      <c r="B141" s="6">
        <v>569202134</v>
      </c>
      <c r="C141" s="23">
        <v>27000000</v>
      </c>
      <c r="D141" s="6">
        <v>0</v>
      </c>
      <c r="E141" s="16" t="s">
        <v>500</v>
      </c>
      <c r="F141" s="5">
        <v>67</v>
      </c>
      <c r="G141" s="29" t="s">
        <v>501</v>
      </c>
      <c r="H141" s="31" t="s">
        <v>502</v>
      </c>
      <c r="I141" s="29" t="s">
        <v>503</v>
      </c>
      <c r="J141" s="29" t="s">
        <v>499</v>
      </c>
      <c r="K141" s="5" t="s">
        <v>17</v>
      </c>
      <c r="L141" s="30">
        <v>140</v>
      </c>
    </row>
    <row r="142" spans="1:12" ht="24.95" customHeight="1" thickBot="1" x14ac:dyDescent="0.45">
      <c r="A142" s="3" t="s">
        <v>802</v>
      </c>
      <c r="B142" s="4">
        <v>542202134</v>
      </c>
      <c r="C142" s="4">
        <v>0</v>
      </c>
      <c r="D142" s="4">
        <v>7000000</v>
      </c>
      <c r="E142" s="8" t="s">
        <v>504</v>
      </c>
      <c r="F142" s="3"/>
      <c r="G142" s="26" t="s">
        <v>505</v>
      </c>
      <c r="H142" s="27" t="s">
        <v>506</v>
      </c>
      <c r="I142" s="26" t="s">
        <v>507</v>
      </c>
      <c r="J142" s="26" t="s">
        <v>499</v>
      </c>
      <c r="K142" s="3" t="s">
        <v>17</v>
      </c>
      <c r="L142" s="28">
        <v>141</v>
      </c>
    </row>
    <row r="143" spans="1:12" ht="24.95" customHeight="1" thickBot="1" x14ac:dyDescent="0.45">
      <c r="A143" s="5" t="s">
        <v>813</v>
      </c>
      <c r="B143" s="6">
        <v>549202134</v>
      </c>
      <c r="C143" s="6">
        <v>0</v>
      </c>
      <c r="D143" s="6">
        <v>12000000</v>
      </c>
      <c r="E143" s="9" t="s">
        <v>508</v>
      </c>
      <c r="F143" s="5"/>
      <c r="G143" s="29" t="s">
        <v>509</v>
      </c>
      <c r="H143" s="31" t="s">
        <v>510</v>
      </c>
      <c r="I143" s="29" t="s">
        <v>511</v>
      </c>
      <c r="J143" s="29" t="s">
        <v>512</v>
      </c>
      <c r="K143" s="5" t="s">
        <v>17</v>
      </c>
      <c r="L143" s="30">
        <v>142</v>
      </c>
    </row>
    <row r="144" spans="1:12" ht="24.95" customHeight="1" thickBot="1" x14ac:dyDescent="0.45">
      <c r="A144" s="3" t="s">
        <v>800</v>
      </c>
      <c r="B144" s="4">
        <v>561202134</v>
      </c>
      <c r="C144" s="4">
        <v>0</v>
      </c>
      <c r="D144" s="4">
        <v>10000</v>
      </c>
      <c r="E144" s="11" t="s">
        <v>79</v>
      </c>
      <c r="F144" s="3"/>
      <c r="G144" s="26" t="s">
        <v>509</v>
      </c>
      <c r="H144" s="27" t="s">
        <v>510</v>
      </c>
      <c r="I144" s="26" t="s">
        <v>511</v>
      </c>
      <c r="J144" s="26" t="s">
        <v>512</v>
      </c>
      <c r="K144" s="3" t="s">
        <v>17</v>
      </c>
      <c r="L144" s="28">
        <v>143</v>
      </c>
    </row>
    <row r="145" spans="1:12" ht="24.95" customHeight="1" thickBot="1" x14ac:dyDescent="0.45">
      <c r="A145" s="33" t="s">
        <v>2</v>
      </c>
      <c r="B145" s="6">
        <v>561212134</v>
      </c>
      <c r="C145" s="23">
        <v>100000000</v>
      </c>
      <c r="D145" s="6">
        <v>0</v>
      </c>
      <c r="E145" s="9" t="s">
        <v>513</v>
      </c>
      <c r="F145" s="5">
        <v>68</v>
      </c>
      <c r="G145" s="29" t="s">
        <v>514</v>
      </c>
      <c r="H145" s="31" t="s">
        <v>515</v>
      </c>
      <c r="I145" s="29" t="s">
        <v>516</v>
      </c>
      <c r="J145" s="29" t="s">
        <v>512</v>
      </c>
      <c r="K145" s="5" t="s">
        <v>17</v>
      </c>
      <c r="L145" s="30">
        <v>144</v>
      </c>
    </row>
    <row r="146" spans="1:12" ht="24.95" customHeight="1" thickBot="1" x14ac:dyDescent="0.45">
      <c r="A146" s="3" t="s">
        <v>802</v>
      </c>
      <c r="B146" s="4">
        <v>461212134</v>
      </c>
      <c r="C146" s="4">
        <v>0</v>
      </c>
      <c r="D146" s="4">
        <v>1200000</v>
      </c>
      <c r="E146" s="8" t="s">
        <v>517</v>
      </c>
      <c r="F146" s="3"/>
      <c r="G146" s="26" t="s">
        <v>518</v>
      </c>
      <c r="H146" s="27" t="s">
        <v>519</v>
      </c>
      <c r="I146" s="26" t="s">
        <v>520</v>
      </c>
      <c r="J146" s="26" t="s">
        <v>521</v>
      </c>
      <c r="K146" s="3" t="s">
        <v>17</v>
      </c>
      <c r="L146" s="28">
        <v>145</v>
      </c>
    </row>
    <row r="147" spans="1:12" ht="24.95" customHeight="1" thickBot="1" x14ac:dyDescent="0.45">
      <c r="A147" s="5" t="s">
        <v>800</v>
      </c>
      <c r="B147" s="6">
        <v>462412134</v>
      </c>
      <c r="C147" s="6">
        <v>0</v>
      </c>
      <c r="D147" s="6">
        <v>7200</v>
      </c>
      <c r="E147" s="10" t="s">
        <v>79</v>
      </c>
      <c r="F147" s="5"/>
      <c r="G147" s="29" t="s">
        <v>518</v>
      </c>
      <c r="H147" s="31" t="s">
        <v>519</v>
      </c>
      <c r="I147" s="29" t="s">
        <v>520</v>
      </c>
      <c r="J147" s="29" t="s">
        <v>521</v>
      </c>
      <c r="K147" s="5" t="s">
        <v>17</v>
      </c>
      <c r="L147" s="30">
        <v>146</v>
      </c>
    </row>
    <row r="148" spans="1:12" ht="24.95" customHeight="1" thickBot="1" x14ac:dyDescent="0.45">
      <c r="A148" s="33" t="s">
        <v>2</v>
      </c>
      <c r="B148" s="4">
        <v>462419334</v>
      </c>
      <c r="C148" s="23">
        <v>100000000</v>
      </c>
      <c r="D148" s="4">
        <v>0</v>
      </c>
      <c r="E148" s="8" t="s">
        <v>522</v>
      </c>
      <c r="F148" s="3">
        <v>69</v>
      </c>
      <c r="G148" s="26" t="s">
        <v>523</v>
      </c>
      <c r="H148" s="27" t="s">
        <v>524</v>
      </c>
      <c r="I148" s="26" t="s">
        <v>525</v>
      </c>
      <c r="J148" s="26" t="s">
        <v>521</v>
      </c>
      <c r="K148" s="3" t="s">
        <v>17</v>
      </c>
      <c r="L148" s="28">
        <v>147</v>
      </c>
    </row>
    <row r="149" spans="1:12" ht="24.95" customHeight="1" thickBot="1" x14ac:dyDescent="0.45">
      <c r="A149" s="5" t="s">
        <v>807</v>
      </c>
      <c r="B149" s="6">
        <v>362419334</v>
      </c>
      <c r="C149" s="6">
        <v>0</v>
      </c>
      <c r="D149" s="6">
        <v>1279000</v>
      </c>
      <c r="E149" s="9" t="s">
        <v>526</v>
      </c>
      <c r="F149" s="5"/>
      <c r="G149" s="29" t="s">
        <v>527</v>
      </c>
      <c r="H149" s="31" t="s">
        <v>528</v>
      </c>
      <c r="I149" s="29" t="s">
        <v>529</v>
      </c>
      <c r="J149" s="29" t="s">
        <v>521</v>
      </c>
      <c r="K149" s="5" t="s">
        <v>17</v>
      </c>
      <c r="L149" s="30">
        <v>148</v>
      </c>
    </row>
    <row r="150" spans="1:12" ht="24.95" customHeight="1" thickBot="1" x14ac:dyDescent="0.45">
      <c r="A150" s="3" t="s">
        <v>840</v>
      </c>
      <c r="B150" s="4">
        <v>363698334</v>
      </c>
      <c r="C150" s="4">
        <v>0</v>
      </c>
      <c r="D150" s="4">
        <v>550000</v>
      </c>
      <c r="E150" s="8" t="s">
        <v>530</v>
      </c>
      <c r="F150" s="3"/>
      <c r="G150" s="26" t="s">
        <v>531</v>
      </c>
      <c r="H150" s="27" t="s">
        <v>532</v>
      </c>
      <c r="I150" s="26" t="s">
        <v>533</v>
      </c>
      <c r="J150" s="26" t="s">
        <v>521</v>
      </c>
      <c r="K150" s="3" t="s">
        <v>17</v>
      </c>
      <c r="L150" s="28">
        <v>149</v>
      </c>
    </row>
    <row r="151" spans="1:12" ht="24.95" customHeight="1" thickBot="1" x14ac:dyDescent="0.45">
      <c r="A151" s="33" t="s">
        <v>2</v>
      </c>
      <c r="B151" s="6">
        <v>364248334</v>
      </c>
      <c r="C151" s="23">
        <v>100000000</v>
      </c>
      <c r="D151" s="6">
        <v>0</v>
      </c>
      <c r="E151" s="9" t="s">
        <v>534</v>
      </c>
      <c r="F151" s="5">
        <v>72</v>
      </c>
      <c r="G151" s="29" t="s">
        <v>535</v>
      </c>
      <c r="H151" s="31" t="s">
        <v>536</v>
      </c>
      <c r="I151" s="29" t="s">
        <v>537</v>
      </c>
      <c r="J151" s="29" t="s">
        <v>538</v>
      </c>
      <c r="K151" s="5" t="s">
        <v>17</v>
      </c>
      <c r="L151" s="30">
        <v>150</v>
      </c>
    </row>
    <row r="152" spans="1:12" ht="24.95" customHeight="1" thickBot="1" x14ac:dyDescent="0.45">
      <c r="A152" s="3" t="s">
        <v>802</v>
      </c>
      <c r="B152" s="4">
        <v>264248334</v>
      </c>
      <c r="C152" s="4">
        <v>0</v>
      </c>
      <c r="D152" s="4">
        <v>1714000</v>
      </c>
      <c r="E152" s="8" t="s">
        <v>539</v>
      </c>
      <c r="F152" s="3"/>
      <c r="G152" s="26" t="s">
        <v>540</v>
      </c>
      <c r="H152" s="27" t="s">
        <v>541</v>
      </c>
      <c r="I152" s="26" t="s">
        <v>542</v>
      </c>
      <c r="J152" s="26" t="s">
        <v>543</v>
      </c>
      <c r="K152" s="3" t="s">
        <v>17</v>
      </c>
      <c r="L152" s="28">
        <v>151</v>
      </c>
    </row>
    <row r="153" spans="1:12" ht="24.95" customHeight="1" thickBot="1" x14ac:dyDescent="0.45">
      <c r="A153" s="5" t="s">
        <v>800</v>
      </c>
      <c r="B153" s="6">
        <v>265962334</v>
      </c>
      <c r="C153" s="6">
        <v>0</v>
      </c>
      <c r="D153" s="6">
        <v>7200</v>
      </c>
      <c r="E153" s="10" t="s">
        <v>79</v>
      </c>
      <c r="F153" s="5"/>
      <c r="G153" s="29" t="s">
        <v>540</v>
      </c>
      <c r="H153" s="31" t="s">
        <v>541</v>
      </c>
      <c r="I153" s="29" t="s">
        <v>542</v>
      </c>
      <c r="J153" s="29" t="s">
        <v>543</v>
      </c>
      <c r="K153" s="5" t="s">
        <v>17</v>
      </c>
      <c r="L153" s="30">
        <v>152</v>
      </c>
    </row>
    <row r="154" spans="1:12" ht="24.95" customHeight="1" thickBot="1" x14ac:dyDescent="0.45">
      <c r="A154" s="3" t="s">
        <v>807</v>
      </c>
      <c r="B154" s="4">
        <v>265969534</v>
      </c>
      <c r="C154" s="4">
        <v>0</v>
      </c>
      <c r="D154" s="4">
        <v>47850</v>
      </c>
      <c r="E154" s="8" t="s">
        <v>544</v>
      </c>
      <c r="F154" s="3"/>
      <c r="G154" s="26" t="s">
        <v>545</v>
      </c>
      <c r="H154" s="27" t="s">
        <v>546</v>
      </c>
      <c r="I154" s="26" t="s">
        <v>547</v>
      </c>
      <c r="J154" s="26" t="s">
        <v>543</v>
      </c>
      <c r="K154" s="3" t="s">
        <v>17</v>
      </c>
      <c r="L154" s="28">
        <v>153</v>
      </c>
    </row>
    <row r="155" spans="1:12" ht="24.95" customHeight="1" thickBot="1" x14ac:dyDescent="0.45">
      <c r="A155" s="5" t="s">
        <v>812</v>
      </c>
      <c r="B155" s="6">
        <v>266017384</v>
      </c>
      <c r="C155" s="6">
        <v>0</v>
      </c>
      <c r="D155" s="6">
        <v>8800000</v>
      </c>
      <c r="E155" s="9" t="s">
        <v>548</v>
      </c>
      <c r="F155" s="5"/>
      <c r="G155" s="29" t="s">
        <v>549</v>
      </c>
      <c r="H155" s="31" t="s">
        <v>550</v>
      </c>
      <c r="I155" s="29" t="s">
        <v>551</v>
      </c>
      <c r="J155" s="29" t="s">
        <v>543</v>
      </c>
      <c r="K155" s="5" t="s">
        <v>17</v>
      </c>
      <c r="L155" s="30">
        <v>154</v>
      </c>
    </row>
    <row r="156" spans="1:12" ht="24.95" customHeight="1" thickBot="1" x14ac:dyDescent="0.45">
      <c r="A156" s="3" t="s">
        <v>800</v>
      </c>
      <c r="B156" s="4">
        <v>274817384</v>
      </c>
      <c r="C156" s="4">
        <v>0</v>
      </c>
      <c r="D156" s="4">
        <v>7200</v>
      </c>
      <c r="E156" s="11" t="s">
        <v>79</v>
      </c>
      <c r="F156" s="3"/>
      <c r="G156" s="26" t="s">
        <v>549</v>
      </c>
      <c r="H156" s="27" t="s">
        <v>550</v>
      </c>
      <c r="I156" s="26" t="s">
        <v>551</v>
      </c>
      <c r="J156" s="26" t="s">
        <v>543</v>
      </c>
      <c r="K156" s="3" t="s">
        <v>17</v>
      </c>
      <c r="L156" s="28">
        <v>155</v>
      </c>
    </row>
    <row r="157" spans="1:12" ht="24.95" customHeight="1" thickBot="1" x14ac:dyDescent="0.45">
      <c r="A157" s="5" t="s">
        <v>807</v>
      </c>
      <c r="B157" s="6">
        <v>274824584</v>
      </c>
      <c r="C157" s="6">
        <v>0</v>
      </c>
      <c r="D157" s="6">
        <v>2859000</v>
      </c>
      <c r="E157" s="9" t="s">
        <v>552</v>
      </c>
      <c r="F157" s="5"/>
      <c r="G157" s="29" t="s">
        <v>553</v>
      </c>
      <c r="H157" s="31" t="s">
        <v>554</v>
      </c>
      <c r="I157" s="29" t="s">
        <v>555</v>
      </c>
      <c r="J157" s="29" t="s">
        <v>543</v>
      </c>
      <c r="K157" s="5" t="s">
        <v>17</v>
      </c>
      <c r="L157" s="30">
        <v>156</v>
      </c>
    </row>
    <row r="158" spans="1:12" ht="24.95" customHeight="1" thickBot="1" x14ac:dyDescent="0.45">
      <c r="A158" s="3" t="s">
        <v>807</v>
      </c>
      <c r="B158" s="4">
        <v>277683584</v>
      </c>
      <c r="C158" s="4">
        <v>0</v>
      </c>
      <c r="D158" s="4">
        <v>1000000</v>
      </c>
      <c r="E158" s="8" t="s">
        <v>556</v>
      </c>
      <c r="F158" s="3"/>
      <c r="G158" s="26" t="s">
        <v>557</v>
      </c>
      <c r="H158" s="27" t="s">
        <v>558</v>
      </c>
      <c r="I158" s="26" t="s">
        <v>559</v>
      </c>
      <c r="J158" s="26" t="s">
        <v>543</v>
      </c>
      <c r="K158" s="3" t="s">
        <v>17</v>
      </c>
      <c r="L158" s="28">
        <v>157</v>
      </c>
    </row>
    <row r="159" spans="1:12" ht="24.95" customHeight="1" thickBot="1" x14ac:dyDescent="0.45">
      <c r="A159" s="5" t="s">
        <v>812</v>
      </c>
      <c r="B159" s="6">
        <v>278683584</v>
      </c>
      <c r="C159" s="6">
        <v>0</v>
      </c>
      <c r="D159" s="6">
        <v>7900000</v>
      </c>
      <c r="E159" s="9" t="s">
        <v>560</v>
      </c>
      <c r="F159" s="5"/>
      <c r="G159" s="29" t="s">
        <v>561</v>
      </c>
      <c r="H159" s="31" t="s">
        <v>562</v>
      </c>
      <c r="I159" s="29" t="s">
        <v>563</v>
      </c>
      <c r="J159" s="29" t="s">
        <v>543</v>
      </c>
      <c r="K159" s="5" t="s">
        <v>17</v>
      </c>
      <c r="L159" s="30">
        <v>158</v>
      </c>
    </row>
    <row r="160" spans="1:12" ht="24.95" customHeight="1" thickBot="1" x14ac:dyDescent="0.45">
      <c r="A160" s="3" t="s">
        <v>806</v>
      </c>
      <c r="B160" s="4">
        <v>286583584</v>
      </c>
      <c r="C160" s="4">
        <v>0</v>
      </c>
      <c r="D160" s="4">
        <v>440000</v>
      </c>
      <c r="E160" s="8" t="s">
        <v>564</v>
      </c>
      <c r="F160" s="3"/>
      <c r="G160" s="26" t="s">
        <v>565</v>
      </c>
      <c r="H160" s="27" t="s">
        <v>566</v>
      </c>
      <c r="I160" s="26" t="s">
        <v>567</v>
      </c>
      <c r="J160" s="26" t="s">
        <v>543</v>
      </c>
      <c r="K160" s="3" t="s">
        <v>17</v>
      </c>
      <c r="L160" s="28">
        <v>159</v>
      </c>
    </row>
    <row r="161" spans="1:12" ht="24.95" customHeight="1" thickBot="1" x14ac:dyDescent="0.45">
      <c r="A161" s="5" t="s">
        <v>840</v>
      </c>
      <c r="B161" s="6">
        <v>287023584</v>
      </c>
      <c r="C161" s="6">
        <v>0</v>
      </c>
      <c r="D161" s="6">
        <v>700000</v>
      </c>
      <c r="E161" s="9" t="s">
        <v>568</v>
      </c>
      <c r="F161" s="5"/>
      <c r="G161" s="29" t="s">
        <v>569</v>
      </c>
      <c r="H161" s="31" t="s">
        <v>570</v>
      </c>
      <c r="I161" s="29" t="s">
        <v>571</v>
      </c>
      <c r="J161" s="29" t="s">
        <v>543</v>
      </c>
      <c r="K161" s="5" t="s">
        <v>17</v>
      </c>
      <c r="L161" s="30">
        <v>160</v>
      </c>
    </row>
    <row r="162" spans="1:12" ht="24.95" customHeight="1" thickBot="1" x14ac:dyDescent="0.45">
      <c r="A162" s="3" t="s">
        <v>800</v>
      </c>
      <c r="B162" s="4">
        <v>287723584</v>
      </c>
      <c r="C162" s="4">
        <v>0</v>
      </c>
      <c r="D162" s="4">
        <v>7200</v>
      </c>
      <c r="E162" s="11" t="s">
        <v>79</v>
      </c>
      <c r="F162" s="3"/>
      <c r="G162" s="26" t="s">
        <v>569</v>
      </c>
      <c r="H162" s="27" t="s">
        <v>570</v>
      </c>
      <c r="I162" s="26" t="s">
        <v>572</v>
      </c>
      <c r="J162" s="26" t="s">
        <v>543</v>
      </c>
      <c r="K162" s="3" t="s">
        <v>17</v>
      </c>
      <c r="L162" s="28">
        <v>161</v>
      </c>
    </row>
    <row r="163" spans="1:12" ht="24.95" customHeight="1" thickBot="1" x14ac:dyDescent="0.45">
      <c r="A163" s="33" t="s">
        <v>2</v>
      </c>
      <c r="B163" s="6">
        <v>287730784</v>
      </c>
      <c r="C163" s="23">
        <v>40000000</v>
      </c>
      <c r="D163" s="6">
        <v>0</v>
      </c>
      <c r="E163" s="9" t="s">
        <v>573</v>
      </c>
      <c r="F163" s="5">
        <v>71</v>
      </c>
      <c r="G163" s="29" t="s">
        <v>574</v>
      </c>
      <c r="H163" s="31" t="s">
        <v>575</v>
      </c>
      <c r="I163" s="29" t="s">
        <v>576</v>
      </c>
      <c r="J163" s="29" t="s">
        <v>543</v>
      </c>
      <c r="K163" s="5" t="s">
        <v>17</v>
      </c>
      <c r="L163" s="30">
        <v>162</v>
      </c>
    </row>
    <row r="164" spans="1:12" ht="24.95" customHeight="1" thickBot="1" x14ac:dyDescent="0.45">
      <c r="A164" s="33" t="s">
        <v>2</v>
      </c>
      <c r="B164" s="4">
        <v>247730784</v>
      </c>
      <c r="C164" s="23">
        <v>100000000</v>
      </c>
      <c r="D164" s="4">
        <v>0</v>
      </c>
      <c r="E164" s="8" t="s">
        <v>577</v>
      </c>
      <c r="F164" s="3">
        <v>74</v>
      </c>
      <c r="G164" s="26" t="s">
        <v>578</v>
      </c>
      <c r="H164" s="27" t="s">
        <v>579</v>
      </c>
      <c r="I164" s="26" t="s">
        <v>580</v>
      </c>
      <c r="J164" s="26" t="s">
        <v>543</v>
      </c>
      <c r="K164" s="3" t="s">
        <v>17</v>
      </c>
      <c r="L164" s="28">
        <v>163</v>
      </c>
    </row>
    <row r="165" spans="1:12" ht="24.95" customHeight="1" thickBot="1" x14ac:dyDescent="0.45">
      <c r="A165" s="33" t="s">
        <v>2</v>
      </c>
      <c r="B165" s="6">
        <v>147730784</v>
      </c>
      <c r="C165" s="23">
        <v>100000000</v>
      </c>
      <c r="D165" s="6">
        <v>0</v>
      </c>
      <c r="E165" s="9" t="s">
        <v>581</v>
      </c>
      <c r="F165" s="5">
        <v>75</v>
      </c>
      <c r="G165" s="29" t="s">
        <v>582</v>
      </c>
      <c r="H165" s="31" t="s">
        <v>583</v>
      </c>
      <c r="I165" s="29" t="s">
        <v>584</v>
      </c>
      <c r="J165" s="29" t="s">
        <v>585</v>
      </c>
      <c r="K165" s="5" t="s">
        <v>17</v>
      </c>
      <c r="L165" s="30">
        <v>164</v>
      </c>
    </row>
    <row r="166" spans="1:12" ht="24.95" customHeight="1" thickBot="1" x14ac:dyDescent="0.45">
      <c r="A166" s="3" t="s">
        <v>802</v>
      </c>
      <c r="B166" s="4">
        <v>47730784</v>
      </c>
      <c r="C166" s="4">
        <v>0</v>
      </c>
      <c r="D166" s="4">
        <v>4900000</v>
      </c>
      <c r="E166" s="8" t="s">
        <v>586</v>
      </c>
      <c r="F166" s="3"/>
      <c r="G166" s="26" t="s">
        <v>587</v>
      </c>
      <c r="H166" s="27" t="s">
        <v>588</v>
      </c>
      <c r="I166" s="26" t="s">
        <v>589</v>
      </c>
      <c r="J166" s="26" t="s">
        <v>585</v>
      </c>
      <c r="K166" s="3" t="s">
        <v>17</v>
      </c>
      <c r="L166" s="28">
        <v>165</v>
      </c>
    </row>
    <row r="167" spans="1:12" ht="24.95" customHeight="1" thickBot="1" x14ac:dyDescent="0.45">
      <c r="A167" s="5" t="s">
        <v>802</v>
      </c>
      <c r="B167" s="6">
        <v>52630784</v>
      </c>
      <c r="C167" s="6">
        <v>0</v>
      </c>
      <c r="D167" s="6">
        <v>2950456</v>
      </c>
      <c r="E167" s="9" t="s">
        <v>590</v>
      </c>
      <c r="F167" s="5"/>
      <c r="G167" s="29" t="s">
        <v>591</v>
      </c>
      <c r="H167" s="31" t="s">
        <v>592</v>
      </c>
      <c r="I167" s="29" t="s">
        <v>593</v>
      </c>
      <c r="J167" s="29" t="s">
        <v>585</v>
      </c>
      <c r="K167" s="5" t="s">
        <v>17</v>
      </c>
      <c r="L167" s="30">
        <v>166</v>
      </c>
    </row>
    <row r="168" spans="1:12" ht="24.95" customHeight="1" thickBot="1" x14ac:dyDescent="0.45">
      <c r="A168" s="33" t="s">
        <v>2</v>
      </c>
      <c r="B168" s="4">
        <v>55581240</v>
      </c>
      <c r="C168" s="23">
        <v>50000000</v>
      </c>
      <c r="D168" s="4">
        <v>0</v>
      </c>
      <c r="E168" s="8" t="s">
        <v>594</v>
      </c>
      <c r="F168" s="3">
        <v>76</v>
      </c>
      <c r="G168" s="26" t="s">
        <v>595</v>
      </c>
      <c r="H168" s="27" t="s">
        <v>596</v>
      </c>
      <c r="I168" s="26" t="s">
        <v>597</v>
      </c>
      <c r="J168" s="26" t="s">
        <v>598</v>
      </c>
      <c r="K168" s="3" t="s">
        <v>17</v>
      </c>
      <c r="L168" s="28">
        <v>167</v>
      </c>
    </row>
    <row r="169" spans="1:12" ht="24.95" customHeight="1" thickBot="1" x14ac:dyDescent="0.45">
      <c r="A169" s="32" t="s">
        <v>833</v>
      </c>
      <c r="B169" s="24">
        <v>5581240</v>
      </c>
      <c r="C169" s="24">
        <v>1287000</v>
      </c>
      <c r="D169" s="24">
        <v>0</v>
      </c>
      <c r="E169" s="9" t="s">
        <v>599</v>
      </c>
      <c r="F169" s="5"/>
      <c r="G169" s="29" t="s">
        <v>600</v>
      </c>
      <c r="H169" s="31" t="s">
        <v>601</v>
      </c>
      <c r="I169" s="29" t="s">
        <v>602</v>
      </c>
      <c r="J169" s="29" t="s">
        <v>598</v>
      </c>
      <c r="K169" s="5" t="s">
        <v>17</v>
      </c>
      <c r="L169" s="30">
        <v>168</v>
      </c>
    </row>
    <row r="170" spans="1:12" ht="24.95" customHeight="1" thickBot="1" x14ac:dyDescent="0.45">
      <c r="A170" s="3" t="s">
        <v>807</v>
      </c>
      <c r="B170" s="4">
        <v>4294240</v>
      </c>
      <c r="C170" s="4">
        <v>0</v>
      </c>
      <c r="D170" s="4">
        <v>3250000</v>
      </c>
      <c r="E170" s="8" t="s">
        <v>603</v>
      </c>
      <c r="F170" s="3"/>
      <c r="G170" s="26" t="s">
        <v>604</v>
      </c>
      <c r="H170" s="27" t="s">
        <v>605</v>
      </c>
      <c r="I170" s="26" t="s">
        <v>606</v>
      </c>
      <c r="J170" s="26" t="s">
        <v>607</v>
      </c>
      <c r="K170" s="3" t="s">
        <v>17</v>
      </c>
      <c r="L170" s="28">
        <v>169</v>
      </c>
    </row>
    <row r="171" spans="1:12" ht="24.95" customHeight="1" thickBot="1" x14ac:dyDescent="0.45">
      <c r="A171" s="5" t="s">
        <v>811</v>
      </c>
      <c r="B171" s="6">
        <v>7544240</v>
      </c>
      <c r="C171" s="6">
        <v>0</v>
      </c>
      <c r="D171" s="6">
        <v>47000000</v>
      </c>
      <c r="E171" s="9" t="s">
        <v>608</v>
      </c>
      <c r="F171" s="5"/>
      <c r="G171" s="29" t="s">
        <v>609</v>
      </c>
      <c r="H171" s="31" t="s">
        <v>610</v>
      </c>
      <c r="I171" s="29" t="s">
        <v>611</v>
      </c>
      <c r="J171" s="29" t="s">
        <v>607</v>
      </c>
      <c r="K171" s="5" t="s">
        <v>17</v>
      </c>
      <c r="L171" s="30">
        <v>170</v>
      </c>
    </row>
    <row r="172" spans="1:12" ht="24.95" customHeight="1" thickBot="1" x14ac:dyDescent="0.45">
      <c r="A172" s="3" t="s">
        <v>800</v>
      </c>
      <c r="B172" s="4">
        <v>54544240</v>
      </c>
      <c r="C172" s="4">
        <v>0</v>
      </c>
      <c r="D172" s="4">
        <v>18400</v>
      </c>
      <c r="E172" s="11" t="s">
        <v>79</v>
      </c>
      <c r="F172" s="3"/>
      <c r="G172" s="26" t="s">
        <v>609</v>
      </c>
      <c r="H172" s="27" t="s">
        <v>610</v>
      </c>
      <c r="I172" s="26" t="s">
        <v>611</v>
      </c>
      <c r="J172" s="26" t="s">
        <v>607</v>
      </c>
      <c r="K172" s="3" t="s">
        <v>17</v>
      </c>
      <c r="L172" s="28">
        <v>171</v>
      </c>
    </row>
    <row r="173" spans="1:12" ht="24.95" customHeight="1" thickBot="1" x14ac:dyDescent="0.45">
      <c r="A173" s="5" t="s">
        <v>810</v>
      </c>
      <c r="B173" s="6">
        <v>54562640</v>
      </c>
      <c r="C173" s="6">
        <v>0</v>
      </c>
      <c r="D173" s="6">
        <v>26726200</v>
      </c>
      <c r="E173" s="9" t="s">
        <v>612</v>
      </c>
      <c r="F173" s="5"/>
      <c r="G173" s="29" t="s">
        <v>613</v>
      </c>
      <c r="H173" s="31" t="s">
        <v>614</v>
      </c>
      <c r="I173" s="29" t="s">
        <v>615</v>
      </c>
      <c r="J173" s="29" t="s">
        <v>607</v>
      </c>
      <c r="K173" s="5" t="s">
        <v>17</v>
      </c>
      <c r="L173" s="30">
        <v>172</v>
      </c>
    </row>
    <row r="174" spans="1:12" ht="24.95" customHeight="1" thickBot="1" x14ac:dyDescent="0.45">
      <c r="A174" s="3" t="s">
        <v>809</v>
      </c>
      <c r="B174" s="4">
        <v>81288840</v>
      </c>
      <c r="C174" s="4">
        <v>0</v>
      </c>
      <c r="D174" s="4">
        <v>23500000</v>
      </c>
      <c r="E174" s="8" t="s">
        <v>616</v>
      </c>
      <c r="F174" s="3"/>
      <c r="G174" s="26" t="s">
        <v>617</v>
      </c>
      <c r="H174" s="27" t="s">
        <v>618</v>
      </c>
      <c r="I174" s="26" t="s">
        <v>619</v>
      </c>
      <c r="J174" s="26" t="s">
        <v>607</v>
      </c>
      <c r="K174" s="3" t="s">
        <v>17</v>
      </c>
      <c r="L174" s="28">
        <v>173</v>
      </c>
    </row>
    <row r="175" spans="1:12" ht="24.95" customHeight="1" thickBot="1" x14ac:dyDescent="0.45">
      <c r="A175" s="5" t="s">
        <v>800</v>
      </c>
      <c r="B175" s="6">
        <v>104788840</v>
      </c>
      <c r="C175" s="6">
        <v>0</v>
      </c>
      <c r="D175" s="6">
        <v>12800</v>
      </c>
      <c r="E175" s="10" t="s">
        <v>79</v>
      </c>
      <c r="F175" s="5"/>
      <c r="G175" s="29" t="s">
        <v>617</v>
      </c>
      <c r="H175" s="31" t="s">
        <v>618</v>
      </c>
      <c r="I175" s="29" t="s">
        <v>619</v>
      </c>
      <c r="J175" s="29" t="s">
        <v>607</v>
      </c>
      <c r="K175" s="5" t="s">
        <v>17</v>
      </c>
      <c r="L175" s="30">
        <v>174</v>
      </c>
    </row>
    <row r="176" spans="1:12" ht="24.95" customHeight="1" thickBot="1" x14ac:dyDescent="0.45">
      <c r="A176" s="3" t="s">
        <v>802</v>
      </c>
      <c r="B176" s="4">
        <v>104801640</v>
      </c>
      <c r="C176" s="4">
        <v>0</v>
      </c>
      <c r="D176" s="4">
        <v>1200000</v>
      </c>
      <c r="E176" s="8" t="s">
        <v>620</v>
      </c>
      <c r="F176" s="3"/>
      <c r="G176" s="26" t="s">
        <v>621</v>
      </c>
      <c r="H176" s="27" t="s">
        <v>622</v>
      </c>
      <c r="I176" s="26" t="s">
        <v>623</v>
      </c>
      <c r="J176" s="26" t="s">
        <v>607</v>
      </c>
      <c r="K176" s="3" t="s">
        <v>17</v>
      </c>
      <c r="L176" s="28">
        <v>175</v>
      </c>
    </row>
    <row r="177" spans="1:12" ht="24.95" customHeight="1" thickBot="1" x14ac:dyDescent="0.45">
      <c r="A177" s="5" t="s">
        <v>800</v>
      </c>
      <c r="B177" s="6">
        <v>106001640</v>
      </c>
      <c r="C177" s="6">
        <v>0</v>
      </c>
      <c r="D177" s="6">
        <v>7200</v>
      </c>
      <c r="E177" s="10" t="s">
        <v>79</v>
      </c>
      <c r="F177" s="5"/>
      <c r="G177" s="29" t="s">
        <v>621</v>
      </c>
      <c r="H177" s="31" t="s">
        <v>622</v>
      </c>
      <c r="I177" s="29" t="s">
        <v>623</v>
      </c>
      <c r="J177" s="29" t="s">
        <v>607</v>
      </c>
      <c r="K177" s="5" t="s">
        <v>17</v>
      </c>
      <c r="L177" s="30">
        <v>176</v>
      </c>
    </row>
    <row r="178" spans="1:12" ht="24.95" customHeight="1" thickBot="1" x14ac:dyDescent="0.45">
      <c r="A178" s="3" t="s">
        <v>802</v>
      </c>
      <c r="B178" s="4">
        <v>106008840</v>
      </c>
      <c r="C178" s="4">
        <v>0</v>
      </c>
      <c r="D178" s="4">
        <v>4000000</v>
      </c>
      <c r="E178" s="8" t="s">
        <v>624</v>
      </c>
      <c r="F178" s="3"/>
      <c r="G178" s="26" t="s">
        <v>625</v>
      </c>
      <c r="H178" s="27" t="s">
        <v>626</v>
      </c>
      <c r="I178" s="26" t="s">
        <v>627</v>
      </c>
      <c r="J178" s="26" t="s">
        <v>628</v>
      </c>
      <c r="K178" s="3" t="s">
        <v>17</v>
      </c>
      <c r="L178" s="28">
        <v>177</v>
      </c>
    </row>
    <row r="179" spans="1:12" ht="24.95" customHeight="1" thickBot="1" x14ac:dyDescent="0.45">
      <c r="A179" s="5" t="s">
        <v>800</v>
      </c>
      <c r="B179" s="6">
        <v>110008840</v>
      </c>
      <c r="C179" s="6">
        <v>0</v>
      </c>
      <c r="D179" s="6">
        <v>7200</v>
      </c>
      <c r="E179" s="10" t="s">
        <v>79</v>
      </c>
      <c r="F179" s="5"/>
      <c r="G179" s="29" t="s">
        <v>625</v>
      </c>
      <c r="H179" s="31" t="s">
        <v>626</v>
      </c>
      <c r="I179" s="29" t="s">
        <v>629</v>
      </c>
      <c r="J179" s="29" t="s">
        <v>628</v>
      </c>
      <c r="K179" s="5" t="s">
        <v>17</v>
      </c>
      <c r="L179" s="30">
        <v>178</v>
      </c>
    </row>
    <row r="180" spans="1:12" ht="24.95" customHeight="1" thickBot="1" x14ac:dyDescent="0.45">
      <c r="A180" s="3" t="s">
        <v>808</v>
      </c>
      <c r="B180" s="4">
        <v>110016040</v>
      </c>
      <c r="C180" s="4">
        <v>0</v>
      </c>
      <c r="D180" s="4">
        <v>9900000</v>
      </c>
      <c r="E180" s="8" t="s">
        <v>630</v>
      </c>
      <c r="F180" s="3"/>
      <c r="G180" s="26" t="s">
        <v>631</v>
      </c>
      <c r="H180" s="27" t="s">
        <v>632</v>
      </c>
      <c r="I180" s="26" t="s">
        <v>633</v>
      </c>
      <c r="J180" s="26" t="s">
        <v>634</v>
      </c>
      <c r="K180" s="3" t="s">
        <v>17</v>
      </c>
      <c r="L180" s="28">
        <v>179</v>
      </c>
    </row>
    <row r="181" spans="1:12" ht="24.95" customHeight="1" thickBot="1" x14ac:dyDescent="0.45">
      <c r="A181" s="5" t="s">
        <v>800</v>
      </c>
      <c r="B181" s="6">
        <v>119916040</v>
      </c>
      <c r="C181" s="6">
        <v>0</v>
      </c>
      <c r="D181" s="6">
        <v>7200</v>
      </c>
      <c r="E181" s="10" t="s">
        <v>79</v>
      </c>
      <c r="F181" s="5"/>
      <c r="G181" s="29" t="s">
        <v>631</v>
      </c>
      <c r="H181" s="31" t="s">
        <v>632</v>
      </c>
      <c r="I181" s="29" t="s">
        <v>633</v>
      </c>
      <c r="J181" s="29" t="s">
        <v>634</v>
      </c>
      <c r="K181" s="5" t="s">
        <v>17</v>
      </c>
      <c r="L181" s="30">
        <v>180</v>
      </c>
    </row>
    <row r="182" spans="1:12" ht="24.95" customHeight="1" thickBot="1" x14ac:dyDescent="0.45">
      <c r="A182" s="3" t="s">
        <v>807</v>
      </c>
      <c r="B182" s="4">
        <v>119923240</v>
      </c>
      <c r="C182" s="4">
        <v>0</v>
      </c>
      <c r="D182" s="4">
        <v>1310000</v>
      </c>
      <c r="E182" s="8" t="s">
        <v>635</v>
      </c>
      <c r="F182" s="3"/>
      <c r="G182" s="26" t="s">
        <v>636</v>
      </c>
      <c r="H182" s="27" t="s">
        <v>637</v>
      </c>
      <c r="I182" s="26" t="s">
        <v>638</v>
      </c>
      <c r="J182" s="26" t="s">
        <v>639</v>
      </c>
      <c r="K182" s="3" t="s">
        <v>17</v>
      </c>
      <c r="L182" s="28">
        <v>181</v>
      </c>
    </row>
    <row r="183" spans="1:12" ht="24.95" customHeight="1" thickBot="1" x14ac:dyDescent="0.45">
      <c r="A183" s="33" t="s">
        <v>2</v>
      </c>
      <c r="B183" s="6">
        <v>121233240</v>
      </c>
      <c r="C183" s="23">
        <v>90000000</v>
      </c>
      <c r="D183" s="6">
        <v>0</v>
      </c>
      <c r="E183" s="9" t="s">
        <v>640</v>
      </c>
      <c r="F183" s="5">
        <v>80</v>
      </c>
      <c r="G183" s="29" t="s">
        <v>641</v>
      </c>
      <c r="H183" s="31" t="s">
        <v>642</v>
      </c>
      <c r="I183" s="29" t="s">
        <v>643</v>
      </c>
      <c r="J183" s="29" t="s">
        <v>644</v>
      </c>
      <c r="K183" s="5" t="s">
        <v>17</v>
      </c>
      <c r="L183" s="30">
        <v>182</v>
      </c>
    </row>
    <row r="184" spans="1:12" ht="24.95" customHeight="1" thickBot="1" x14ac:dyDescent="0.45">
      <c r="A184" s="3" t="s">
        <v>802</v>
      </c>
      <c r="B184" s="4">
        <v>31233240</v>
      </c>
      <c r="C184" s="4">
        <v>0</v>
      </c>
      <c r="D184" s="4">
        <v>11870000</v>
      </c>
      <c r="E184" s="8" t="s">
        <v>645</v>
      </c>
      <c r="F184" s="3"/>
      <c r="G184" s="26" t="s">
        <v>646</v>
      </c>
      <c r="H184" s="27" t="s">
        <v>647</v>
      </c>
      <c r="I184" s="26" t="s">
        <v>648</v>
      </c>
      <c r="J184" s="26" t="s">
        <v>649</v>
      </c>
      <c r="K184" s="3" t="s">
        <v>17</v>
      </c>
      <c r="L184" s="28">
        <v>183</v>
      </c>
    </row>
    <row r="185" spans="1:12" ht="24.95" customHeight="1" thickBot="1" x14ac:dyDescent="0.45">
      <c r="A185" s="5" t="s">
        <v>800</v>
      </c>
      <c r="B185" s="6">
        <v>43103240</v>
      </c>
      <c r="C185" s="6">
        <v>0</v>
      </c>
      <c r="D185" s="6">
        <v>10000</v>
      </c>
      <c r="E185" s="10" t="s">
        <v>79</v>
      </c>
      <c r="F185" s="5"/>
      <c r="G185" s="29" t="s">
        <v>646</v>
      </c>
      <c r="H185" s="31" t="s">
        <v>647</v>
      </c>
      <c r="I185" s="29" t="s">
        <v>648</v>
      </c>
      <c r="J185" s="29" t="s">
        <v>649</v>
      </c>
      <c r="K185" s="5" t="s">
        <v>17</v>
      </c>
      <c r="L185" s="30">
        <v>184</v>
      </c>
    </row>
    <row r="186" spans="1:12" ht="24.95" customHeight="1" thickBot="1" x14ac:dyDescent="0.45">
      <c r="A186" s="33" t="s">
        <v>2</v>
      </c>
      <c r="B186" s="4">
        <v>43113240</v>
      </c>
      <c r="C186" s="23">
        <v>30623000</v>
      </c>
      <c r="D186" s="4">
        <v>0</v>
      </c>
      <c r="E186" s="8" t="s">
        <v>650</v>
      </c>
      <c r="F186" s="3">
        <v>84</v>
      </c>
      <c r="G186" s="26" t="s">
        <v>651</v>
      </c>
      <c r="H186" s="27" t="s">
        <v>652</v>
      </c>
      <c r="I186" s="26" t="s">
        <v>653</v>
      </c>
      <c r="J186" s="26" t="s">
        <v>649</v>
      </c>
      <c r="K186" s="3" t="s">
        <v>17</v>
      </c>
      <c r="L186" s="28">
        <v>185</v>
      </c>
    </row>
    <row r="187" spans="1:12" ht="24.95" customHeight="1" thickBot="1" x14ac:dyDescent="0.45">
      <c r="A187" s="33" t="s">
        <v>2</v>
      </c>
      <c r="B187" s="6">
        <v>12490240</v>
      </c>
      <c r="C187" s="23">
        <v>8400000</v>
      </c>
      <c r="D187" s="6">
        <v>0</v>
      </c>
      <c r="E187" s="9" t="s">
        <v>654</v>
      </c>
      <c r="F187" s="5">
        <v>89</v>
      </c>
      <c r="G187" s="29" t="s">
        <v>655</v>
      </c>
      <c r="H187" s="31" t="s">
        <v>656</v>
      </c>
      <c r="I187" s="29" t="s">
        <v>657</v>
      </c>
      <c r="J187" s="29" t="s">
        <v>658</v>
      </c>
      <c r="K187" s="5" t="s">
        <v>17</v>
      </c>
      <c r="L187" s="30">
        <v>186</v>
      </c>
    </row>
    <row r="188" spans="1:12" ht="24.95" customHeight="1" thickBot="1" x14ac:dyDescent="0.45">
      <c r="A188" s="3" t="s">
        <v>807</v>
      </c>
      <c r="B188" s="4">
        <v>4090240</v>
      </c>
      <c r="C188" s="4">
        <v>0</v>
      </c>
      <c r="D188" s="4">
        <v>130000</v>
      </c>
      <c r="E188" s="8" t="s">
        <v>659</v>
      </c>
      <c r="F188" s="3"/>
      <c r="G188" s="26" t="s">
        <v>660</v>
      </c>
      <c r="H188" s="27" t="s">
        <v>661</v>
      </c>
      <c r="I188" s="26" t="s">
        <v>662</v>
      </c>
      <c r="J188" s="26" t="s">
        <v>658</v>
      </c>
      <c r="K188" s="3" t="s">
        <v>17</v>
      </c>
      <c r="L188" s="28">
        <v>187</v>
      </c>
    </row>
    <row r="189" spans="1:12" ht="24.95" customHeight="1" thickBot="1" x14ac:dyDescent="0.45">
      <c r="A189" s="5" t="s">
        <v>807</v>
      </c>
      <c r="B189" s="6">
        <v>4220240</v>
      </c>
      <c r="C189" s="6">
        <v>0</v>
      </c>
      <c r="D189" s="6">
        <v>619000</v>
      </c>
      <c r="E189" s="9" t="s">
        <v>663</v>
      </c>
      <c r="F189" s="5"/>
      <c r="G189" s="29" t="s">
        <v>664</v>
      </c>
      <c r="H189" s="31" t="s">
        <v>665</v>
      </c>
      <c r="I189" s="29" t="s">
        <v>666</v>
      </c>
      <c r="J189" s="29" t="s">
        <v>658</v>
      </c>
      <c r="K189" s="5" t="s">
        <v>17</v>
      </c>
      <c r="L189" s="30">
        <v>188</v>
      </c>
    </row>
    <row r="190" spans="1:12" ht="24.95" customHeight="1" thickBot="1" x14ac:dyDescent="0.45">
      <c r="A190" s="33" t="s">
        <v>2</v>
      </c>
      <c r="B190" s="4">
        <v>4839240</v>
      </c>
      <c r="C190" s="23">
        <v>3500000</v>
      </c>
      <c r="D190" s="4">
        <v>0</v>
      </c>
      <c r="E190" s="8" t="s">
        <v>667</v>
      </c>
      <c r="F190" s="3">
        <v>85</v>
      </c>
      <c r="G190" s="26" t="s">
        <v>668</v>
      </c>
      <c r="H190" s="27" t="s">
        <v>669</v>
      </c>
      <c r="I190" s="26" t="s">
        <v>670</v>
      </c>
      <c r="J190" s="26" t="s">
        <v>671</v>
      </c>
      <c r="K190" s="3" t="s">
        <v>17</v>
      </c>
      <c r="L190" s="28">
        <v>189</v>
      </c>
    </row>
    <row r="191" spans="1:12" ht="24.95" customHeight="1" thickBot="1" x14ac:dyDescent="0.45">
      <c r="A191" s="5" t="s">
        <v>806</v>
      </c>
      <c r="B191" s="6">
        <v>1339240</v>
      </c>
      <c r="C191" s="6">
        <v>0</v>
      </c>
      <c r="D191" s="6">
        <v>200000</v>
      </c>
      <c r="E191" s="9" t="s">
        <v>672</v>
      </c>
      <c r="F191" s="5"/>
      <c r="G191" s="29" t="s">
        <v>673</v>
      </c>
      <c r="H191" s="31" t="s">
        <v>674</v>
      </c>
      <c r="I191" s="29" t="s">
        <v>675</v>
      </c>
      <c r="J191" s="29" t="s">
        <v>676</v>
      </c>
      <c r="K191" s="5" t="s">
        <v>17</v>
      </c>
      <c r="L191" s="30">
        <v>190</v>
      </c>
    </row>
    <row r="192" spans="1:12" ht="24.95" customHeight="1" thickBot="1" x14ac:dyDescent="0.45">
      <c r="A192" s="3" t="s">
        <v>802</v>
      </c>
      <c r="B192" s="4">
        <v>1539240</v>
      </c>
      <c r="C192" s="4">
        <v>0</v>
      </c>
      <c r="D192" s="4">
        <v>500000</v>
      </c>
      <c r="E192" s="8" t="s">
        <v>677</v>
      </c>
      <c r="F192" s="3"/>
      <c r="G192" s="26" t="s">
        <v>678</v>
      </c>
      <c r="H192" s="27" t="s">
        <v>679</v>
      </c>
      <c r="I192" s="26" t="s">
        <v>680</v>
      </c>
      <c r="J192" s="26" t="s">
        <v>681</v>
      </c>
      <c r="K192" s="3" t="s">
        <v>17</v>
      </c>
      <c r="L192" s="28">
        <v>191</v>
      </c>
    </row>
    <row r="193" spans="1:12" ht="24.95" customHeight="1" thickBot="1" x14ac:dyDescent="0.45">
      <c r="A193" s="5" t="s">
        <v>802</v>
      </c>
      <c r="B193" s="6">
        <v>2039240</v>
      </c>
      <c r="C193" s="6">
        <v>0</v>
      </c>
      <c r="D193" s="6">
        <v>1490000</v>
      </c>
      <c r="E193" s="9" t="s">
        <v>682</v>
      </c>
      <c r="F193" s="5"/>
      <c r="G193" s="29" t="s">
        <v>683</v>
      </c>
      <c r="H193" s="31" t="s">
        <v>684</v>
      </c>
      <c r="I193" s="29" t="s">
        <v>685</v>
      </c>
      <c r="J193" s="29" t="s">
        <v>686</v>
      </c>
      <c r="K193" s="5" t="s">
        <v>17</v>
      </c>
      <c r="L193" s="30">
        <v>192</v>
      </c>
    </row>
    <row r="194" spans="1:12" ht="24.95" customHeight="1" thickBot="1" x14ac:dyDescent="0.45">
      <c r="A194" s="3" t="s">
        <v>802</v>
      </c>
      <c r="B194" s="4">
        <v>3529240</v>
      </c>
      <c r="C194" s="4">
        <v>0</v>
      </c>
      <c r="D194" s="4">
        <v>3390000</v>
      </c>
      <c r="E194" s="8" t="s">
        <v>687</v>
      </c>
      <c r="F194" s="3"/>
      <c r="G194" s="26" t="s">
        <v>688</v>
      </c>
      <c r="H194" s="27" t="s">
        <v>689</v>
      </c>
      <c r="I194" s="26" t="s">
        <v>690</v>
      </c>
      <c r="J194" s="26" t="s">
        <v>686</v>
      </c>
      <c r="K194" s="3" t="s">
        <v>17</v>
      </c>
      <c r="L194" s="28">
        <v>193</v>
      </c>
    </row>
    <row r="195" spans="1:12" ht="24.95" customHeight="1" thickBot="1" x14ac:dyDescent="0.45">
      <c r="A195" s="5" t="s">
        <v>800</v>
      </c>
      <c r="B195" s="6">
        <v>6919240</v>
      </c>
      <c r="C195" s="6">
        <v>0</v>
      </c>
      <c r="D195" s="6">
        <v>7200</v>
      </c>
      <c r="E195" s="10" t="s">
        <v>79</v>
      </c>
      <c r="F195" s="5"/>
      <c r="G195" s="29" t="s">
        <v>688</v>
      </c>
      <c r="H195" s="31" t="s">
        <v>689</v>
      </c>
      <c r="I195" s="29" t="s">
        <v>690</v>
      </c>
      <c r="J195" s="29" t="s">
        <v>686</v>
      </c>
      <c r="K195" s="5" t="s">
        <v>17</v>
      </c>
      <c r="L195" s="30">
        <v>194</v>
      </c>
    </row>
    <row r="196" spans="1:12" ht="24.95" customHeight="1" thickBot="1" x14ac:dyDescent="0.45">
      <c r="A196" s="32" t="s">
        <v>805</v>
      </c>
      <c r="B196" s="24">
        <v>6926440</v>
      </c>
      <c r="C196" s="24">
        <v>4910000</v>
      </c>
      <c r="D196" s="24">
        <v>0</v>
      </c>
      <c r="E196" s="8" t="s">
        <v>691</v>
      </c>
      <c r="F196" s="3"/>
      <c r="G196" s="26" t="s">
        <v>692</v>
      </c>
      <c r="H196" s="27" t="s">
        <v>693</v>
      </c>
      <c r="I196" s="26" t="s">
        <v>694</v>
      </c>
      <c r="J196" s="26" t="s">
        <v>686</v>
      </c>
      <c r="K196" s="3" t="s">
        <v>17</v>
      </c>
      <c r="L196" s="28">
        <v>195</v>
      </c>
    </row>
    <row r="197" spans="1:12" ht="24.95" customHeight="1" thickBot="1" x14ac:dyDescent="0.45">
      <c r="A197" s="5" t="s">
        <v>807</v>
      </c>
      <c r="B197" s="6">
        <v>2016440</v>
      </c>
      <c r="C197" s="6">
        <v>0</v>
      </c>
      <c r="D197" s="6">
        <v>1158000</v>
      </c>
      <c r="E197" s="9" t="s">
        <v>695</v>
      </c>
      <c r="F197" s="5"/>
      <c r="G197" s="29" t="s">
        <v>696</v>
      </c>
      <c r="H197" s="31" t="s">
        <v>697</v>
      </c>
      <c r="I197" s="29" t="s">
        <v>698</v>
      </c>
      <c r="J197" s="29" t="s">
        <v>699</v>
      </c>
      <c r="K197" s="5" t="s">
        <v>17</v>
      </c>
      <c r="L197" s="30">
        <v>196</v>
      </c>
    </row>
    <row r="198" spans="1:12" ht="24.95" customHeight="1" thickBot="1" x14ac:dyDescent="0.45">
      <c r="A198" s="3" t="s">
        <v>806</v>
      </c>
      <c r="B198" s="4">
        <v>3174440</v>
      </c>
      <c r="C198" s="4">
        <v>0</v>
      </c>
      <c r="D198" s="4">
        <v>220000</v>
      </c>
      <c r="E198" s="8" t="s">
        <v>700</v>
      </c>
      <c r="F198" s="3"/>
      <c r="G198" s="26" t="s">
        <v>701</v>
      </c>
      <c r="H198" s="27" t="s">
        <v>702</v>
      </c>
      <c r="I198" s="26" t="s">
        <v>703</v>
      </c>
      <c r="J198" s="26" t="s">
        <v>704</v>
      </c>
      <c r="K198" s="3" t="s">
        <v>17</v>
      </c>
      <c r="L198" s="28">
        <v>197</v>
      </c>
    </row>
    <row r="199" spans="1:12" ht="24.95" customHeight="1" thickBot="1" x14ac:dyDescent="0.45">
      <c r="A199" s="5" t="s">
        <v>802</v>
      </c>
      <c r="B199" s="6">
        <v>3394440</v>
      </c>
      <c r="C199" s="6">
        <v>0</v>
      </c>
      <c r="D199" s="6">
        <v>20730000</v>
      </c>
      <c r="E199" s="9" t="s">
        <v>705</v>
      </c>
      <c r="F199" s="5"/>
      <c r="G199" s="29" t="s">
        <v>706</v>
      </c>
      <c r="H199" s="31" t="s">
        <v>707</v>
      </c>
      <c r="I199" s="29" t="s">
        <v>708</v>
      </c>
      <c r="J199" s="29" t="s">
        <v>709</v>
      </c>
      <c r="K199" s="5" t="s">
        <v>17</v>
      </c>
      <c r="L199" s="30">
        <v>198</v>
      </c>
    </row>
    <row r="200" spans="1:12" ht="24.95" customHeight="1" thickBot="1" x14ac:dyDescent="0.45">
      <c r="A200" s="3" t="s">
        <v>803</v>
      </c>
      <c r="B200" s="4">
        <v>24124440</v>
      </c>
      <c r="C200" s="4">
        <v>0</v>
      </c>
      <c r="D200" s="4">
        <v>2400000</v>
      </c>
      <c r="E200" s="8" t="s">
        <v>710</v>
      </c>
      <c r="F200" s="3"/>
      <c r="G200" s="26" t="s">
        <v>711</v>
      </c>
      <c r="H200" s="27" t="s">
        <v>712</v>
      </c>
      <c r="I200" s="26" t="s">
        <v>713</v>
      </c>
      <c r="J200" s="26" t="s">
        <v>709</v>
      </c>
      <c r="K200" s="3" t="s">
        <v>17</v>
      </c>
      <c r="L200" s="28">
        <v>199</v>
      </c>
    </row>
    <row r="201" spans="1:12" ht="24.95" customHeight="1" thickBot="1" x14ac:dyDescent="0.45">
      <c r="A201" s="5" t="s">
        <v>802</v>
      </c>
      <c r="B201" s="6">
        <v>26524440</v>
      </c>
      <c r="C201" s="6">
        <v>0</v>
      </c>
      <c r="D201" s="6">
        <v>1980000</v>
      </c>
      <c r="E201" s="9" t="s">
        <v>714</v>
      </c>
      <c r="F201" s="5"/>
      <c r="G201" s="29" t="s">
        <v>715</v>
      </c>
      <c r="H201" s="31" t="s">
        <v>716</v>
      </c>
      <c r="I201" s="29" t="s">
        <v>717</v>
      </c>
      <c r="J201" s="29" t="s">
        <v>709</v>
      </c>
      <c r="K201" s="5" t="s">
        <v>17</v>
      </c>
      <c r="L201" s="30">
        <v>200</v>
      </c>
    </row>
    <row r="202" spans="1:12" ht="24.95" customHeight="1" thickBot="1" x14ac:dyDescent="0.45">
      <c r="A202" s="3" t="s">
        <v>802</v>
      </c>
      <c r="B202" s="4">
        <v>28504440</v>
      </c>
      <c r="C202" s="4">
        <v>0</v>
      </c>
      <c r="D202" s="4">
        <v>5383000</v>
      </c>
      <c r="E202" s="8" t="s">
        <v>718</v>
      </c>
      <c r="F202" s="3"/>
      <c r="G202" s="26" t="s">
        <v>719</v>
      </c>
      <c r="H202" s="27" t="s">
        <v>720</v>
      </c>
      <c r="I202" s="26" t="s">
        <v>721</v>
      </c>
      <c r="J202" s="26" t="s">
        <v>722</v>
      </c>
      <c r="K202" s="3" t="s">
        <v>17</v>
      </c>
      <c r="L202" s="28">
        <v>201</v>
      </c>
    </row>
    <row r="203" spans="1:12" ht="24.95" customHeight="1" thickBot="1" x14ac:dyDescent="0.45">
      <c r="A203" s="5" t="s">
        <v>802</v>
      </c>
      <c r="B203" s="6">
        <v>33887440</v>
      </c>
      <c r="C203" s="6">
        <v>0</v>
      </c>
      <c r="D203" s="6">
        <v>3160000</v>
      </c>
      <c r="E203" s="9" t="s">
        <v>723</v>
      </c>
      <c r="F203" s="5"/>
      <c r="G203" s="29" t="s">
        <v>724</v>
      </c>
      <c r="H203" s="31" t="s">
        <v>725</v>
      </c>
      <c r="I203" s="29" t="s">
        <v>726</v>
      </c>
      <c r="J203" s="29" t="s">
        <v>727</v>
      </c>
      <c r="K203" s="5" t="s">
        <v>17</v>
      </c>
      <c r="L203" s="30">
        <v>202</v>
      </c>
    </row>
    <row r="204" spans="1:12" ht="24.95" customHeight="1" thickBot="1" x14ac:dyDescent="0.45">
      <c r="A204" s="3" t="s">
        <v>800</v>
      </c>
      <c r="B204" s="4">
        <v>37047440</v>
      </c>
      <c r="C204" s="4">
        <v>0</v>
      </c>
      <c r="D204" s="4">
        <v>7200</v>
      </c>
      <c r="E204" s="11" t="s">
        <v>79</v>
      </c>
      <c r="F204" s="3"/>
      <c r="G204" s="26" t="s">
        <v>724</v>
      </c>
      <c r="H204" s="27" t="s">
        <v>725</v>
      </c>
      <c r="I204" s="26" t="s">
        <v>726</v>
      </c>
      <c r="J204" s="26" t="s">
        <v>727</v>
      </c>
      <c r="K204" s="3" t="s">
        <v>17</v>
      </c>
      <c r="L204" s="28">
        <v>203</v>
      </c>
    </row>
    <row r="205" spans="1:12" ht="24.95" customHeight="1" thickBot="1" x14ac:dyDescent="0.45">
      <c r="A205" s="5" t="s">
        <v>840</v>
      </c>
      <c r="B205" s="6">
        <v>37054640</v>
      </c>
      <c r="C205" s="6">
        <v>0</v>
      </c>
      <c r="D205" s="6">
        <v>3900000</v>
      </c>
      <c r="E205" s="9" t="s">
        <v>728</v>
      </c>
      <c r="F205" s="5"/>
      <c r="G205" s="29" t="s">
        <v>729</v>
      </c>
      <c r="H205" s="31" t="s">
        <v>730</v>
      </c>
      <c r="I205" s="29" t="s">
        <v>731</v>
      </c>
      <c r="J205" s="29" t="s">
        <v>732</v>
      </c>
      <c r="K205" s="5" t="s">
        <v>17</v>
      </c>
      <c r="L205" s="30">
        <v>204</v>
      </c>
    </row>
    <row r="206" spans="1:12" ht="24.95" customHeight="1" thickBot="1" x14ac:dyDescent="0.45">
      <c r="A206" s="3" t="s">
        <v>801</v>
      </c>
      <c r="B206" s="4">
        <v>40954640</v>
      </c>
      <c r="C206" s="4">
        <v>0</v>
      </c>
      <c r="D206" s="4">
        <v>80000000</v>
      </c>
      <c r="E206" s="8" t="s">
        <v>733</v>
      </c>
      <c r="F206" s="3"/>
      <c r="G206" s="26" t="s">
        <v>734</v>
      </c>
      <c r="H206" s="27" t="s">
        <v>735</v>
      </c>
      <c r="I206" s="26" t="s">
        <v>736</v>
      </c>
      <c r="J206" s="26" t="s">
        <v>737</v>
      </c>
      <c r="K206" s="3" t="s">
        <v>17</v>
      </c>
      <c r="L206" s="28">
        <v>205</v>
      </c>
    </row>
    <row r="207" spans="1:12" ht="24.95" customHeight="1" thickBot="1" x14ac:dyDescent="0.45">
      <c r="A207" s="5" t="s">
        <v>800</v>
      </c>
      <c r="B207" s="6">
        <v>120954640</v>
      </c>
      <c r="C207" s="6">
        <v>0</v>
      </c>
      <c r="D207" s="6">
        <v>26800</v>
      </c>
      <c r="E207" s="10" t="s">
        <v>79</v>
      </c>
      <c r="F207" s="5"/>
      <c r="G207" s="29" t="s">
        <v>734</v>
      </c>
      <c r="H207" s="31" t="s">
        <v>735</v>
      </c>
      <c r="I207" s="29" t="s">
        <v>736</v>
      </c>
      <c r="J207" s="29" t="s">
        <v>737</v>
      </c>
      <c r="K207" s="5" t="s">
        <v>17</v>
      </c>
      <c r="L207" s="30">
        <v>206</v>
      </c>
    </row>
    <row r="208" spans="1:12" ht="24.95" customHeight="1" thickBot="1" x14ac:dyDescent="0.45">
      <c r="A208" s="3" t="s">
        <v>807</v>
      </c>
      <c r="B208" s="4">
        <v>120981440</v>
      </c>
      <c r="C208" s="4">
        <v>0</v>
      </c>
      <c r="D208" s="4">
        <v>28470000</v>
      </c>
      <c r="E208" s="8" t="s">
        <v>738</v>
      </c>
      <c r="F208" s="3"/>
      <c r="G208" s="26" t="s">
        <v>739</v>
      </c>
      <c r="H208" s="27" t="s">
        <v>740</v>
      </c>
      <c r="I208" s="26" t="s">
        <v>741</v>
      </c>
      <c r="J208" s="26" t="s">
        <v>742</v>
      </c>
      <c r="K208" s="3" t="s">
        <v>17</v>
      </c>
      <c r="L208" s="28">
        <v>207</v>
      </c>
    </row>
    <row r="209" spans="1:12" ht="24.95" customHeight="1" thickBot="1" x14ac:dyDescent="0.45">
      <c r="A209" s="5" t="s">
        <v>800</v>
      </c>
      <c r="B209" s="6">
        <v>149451440</v>
      </c>
      <c r="C209" s="6">
        <v>0</v>
      </c>
      <c r="D209" s="6">
        <v>12800</v>
      </c>
      <c r="E209" s="10" t="s">
        <v>79</v>
      </c>
      <c r="F209" s="5"/>
      <c r="G209" s="29" t="s">
        <v>739</v>
      </c>
      <c r="H209" s="31" t="s">
        <v>740</v>
      </c>
      <c r="I209" s="29" t="s">
        <v>741</v>
      </c>
      <c r="J209" s="29" t="s">
        <v>742</v>
      </c>
      <c r="K209" s="5" t="s">
        <v>17</v>
      </c>
      <c r="L209" s="30">
        <v>208</v>
      </c>
    </row>
    <row r="210" spans="1:12" ht="24.95" customHeight="1" thickBot="1" x14ac:dyDescent="0.45">
      <c r="A210" s="3" t="s">
        <v>800</v>
      </c>
      <c r="B210" s="4">
        <v>149464240</v>
      </c>
      <c r="C210" s="4">
        <v>0</v>
      </c>
      <c r="D210" s="4">
        <v>360</v>
      </c>
      <c r="E210" s="17" t="s">
        <v>743</v>
      </c>
      <c r="F210" s="3"/>
      <c r="G210" s="26" t="s">
        <v>744</v>
      </c>
      <c r="H210" s="27" t="s">
        <v>745</v>
      </c>
      <c r="I210" s="26" t="s">
        <v>746</v>
      </c>
      <c r="J210" s="26" t="s">
        <v>747</v>
      </c>
      <c r="K210" s="3" t="s">
        <v>17</v>
      </c>
      <c r="L210" s="28">
        <v>209</v>
      </c>
    </row>
    <row r="211" spans="1:12" ht="24.95" customHeight="1" thickBot="1" x14ac:dyDescent="0.45">
      <c r="A211" s="5" t="s">
        <v>800</v>
      </c>
      <c r="B211" s="6">
        <v>149464600</v>
      </c>
      <c r="C211" s="6">
        <v>0</v>
      </c>
      <c r="D211" s="6">
        <v>30000</v>
      </c>
      <c r="E211" s="18" t="s">
        <v>748</v>
      </c>
      <c r="F211" s="5"/>
      <c r="G211" s="29" t="s">
        <v>749</v>
      </c>
      <c r="H211" s="31" t="s">
        <v>750</v>
      </c>
      <c r="I211" s="29" t="s">
        <v>751</v>
      </c>
      <c r="J211" s="29" t="s">
        <v>752</v>
      </c>
      <c r="K211" s="5" t="s">
        <v>17</v>
      </c>
      <c r="L211" s="30">
        <v>210</v>
      </c>
    </row>
    <row r="212" spans="1:12" ht="24.95" customHeight="1" thickBot="1" x14ac:dyDescent="0.45">
      <c r="A212" s="3" t="s">
        <v>800</v>
      </c>
      <c r="B212" s="4">
        <v>149494600</v>
      </c>
      <c r="C212" s="4">
        <v>0</v>
      </c>
      <c r="D212" s="4">
        <v>33000</v>
      </c>
      <c r="E212" s="19" t="s">
        <v>753</v>
      </c>
      <c r="F212" s="3"/>
      <c r="G212" s="26" t="s">
        <v>754</v>
      </c>
      <c r="H212" s="27" t="s">
        <v>755</v>
      </c>
      <c r="I212" s="26" t="s">
        <v>756</v>
      </c>
      <c r="J212" s="26" t="s">
        <v>752</v>
      </c>
      <c r="K212" s="3" t="s">
        <v>17</v>
      </c>
      <c r="L212" s="28">
        <v>211</v>
      </c>
    </row>
    <row r="213" spans="1:12" ht="24.95" customHeight="1" thickBot="1" x14ac:dyDescent="0.45">
      <c r="A213" s="5" t="s">
        <v>800</v>
      </c>
      <c r="B213" s="6">
        <v>149527600</v>
      </c>
      <c r="C213" s="6">
        <v>0</v>
      </c>
      <c r="D213" s="6">
        <v>36000</v>
      </c>
      <c r="E213" s="18" t="s">
        <v>757</v>
      </c>
      <c r="F213" s="5"/>
      <c r="G213" s="29" t="s">
        <v>758</v>
      </c>
      <c r="H213" s="31" t="s">
        <v>759</v>
      </c>
      <c r="I213" s="29" t="s">
        <v>760</v>
      </c>
      <c r="J213" s="29" t="s">
        <v>752</v>
      </c>
      <c r="K213" s="5" t="s">
        <v>17</v>
      </c>
      <c r="L213" s="30">
        <v>212</v>
      </c>
    </row>
    <row r="214" spans="1:12" ht="24.95" customHeight="1" thickBot="1" x14ac:dyDescent="0.45">
      <c r="A214" s="3" t="s">
        <v>800</v>
      </c>
      <c r="B214" s="4">
        <v>149563600</v>
      </c>
      <c r="C214" s="4">
        <v>0</v>
      </c>
      <c r="D214" s="4">
        <v>407000</v>
      </c>
      <c r="E214" s="19" t="s">
        <v>761</v>
      </c>
      <c r="F214" s="3"/>
      <c r="G214" s="26" t="s">
        <v>762</v>
      </c>
      <c r="H214" s="27" t="s">
        <v>763</v>
      </c>
      <c r="I214" s="26" t="s">
        <v>764</v>
      </c>
      <c r="J214" s="26" t="s">
        <v>752</v>
      </c>
      <c r="K214" s="3" t="s">
        <v>17</v>
      </c>
      <c r="L214" s="28">
        <v>213</v>
      </c>
    </row>
    <row r="215" spans="1:12" ht="24.95" customHeight="1" thickBot="1" x14ac:dyDescent="0.45">
      <c r="A215" s="34" t="s">
        <v>804</v>
      </c>
      <c r="B215" s="6">
        <v>149970600</v>
      </c>
      <c r="C215" s="6">
        <v>0</v>
      </c>
      <c r="D215" s="6">
        <v>10000000</v>
      </c>
      <c r="E215" s="20" t="s">
        <v>765</v>
      </c>
      <c r="F215" s="5"/>
      <c r="G215" s="29"/>
      <c r="H215" s="31" t="s">
        <v>766</v>
      </c>
      <c r="I215" s="29" t="s">
        <v>767</v>
      </c>
      <c r="J215" s="29" t="s">
        <v>768</v>
      </c>
      <c r="K215" s="5" t="s">
        <v>17</v>
      </c>
      <c r="L215" s="30">
        <v>214</v>
      </c>
    </row>
    <row r="216" spans="1:12" ht="24.95" customHeight="1" thickBot="1" x14ac:dyDescent="0.45">
      <c r="A216" s="3" t="s">
        <v>800</v>
      </c>
      <c r="B216" s="4">
        <v>159970600</v>
      </c>
      <c r="C216" s="4">
        <v>0</v>
      </c>
      <c r="D216" s="4">
        <v>2400</v>
      </c>
      <c r="E216" s="15" t="s">
        <v>769</v>
      </c>
      <c r="F216" s="3"/>
      <c r="G216" s="26"/>
      <c r="H216" s="27" t="s">
        <v>766</v>
      </c>
      <c r="I216" s="26" t="s">
        <v>767</v>
      </c>
      <c r="J216" s="26" t="s">
        <v>768</v>
      </c>
      <c r="K216" s="3" t="s">
        <v>17</v>
      </c>
      <c r="L216" s="28">
        <v>215</v>
      </c>
    </row>
    <row r="217" spans="1:12" ht="24.95" customHeight="1" thickBot="1" x14ac:dyDescent="0.45">
      <c r="A217" s="5" t="s">
        <v>828</v>
      </c>
      <c r="B217" s="6" t="s">
        <v>827</v>
      </c>
      <c r="C217" s="6">
        <v>0</v>
      </c>
      <c r="D217" s="6">
        <v>170000000</v>
      </c>
      <c r="E217" s="20" t="s">
        <v>770</v>
      </c>
      <c r="F217" s="5"/>
      <c r="G217" s="29"/>
      <c r="H217" s="31" t="s">
        <v>771</v>
      </c>
      <c r="I217" s="29" t="s">
        <v>772</v>
      </c>
      <c r="J217" s="29" t="s">
        <v>768</v>
      </c>
      <c r="K217" s="5" t="s">
        <v>17</v>
      </c>
      <c r="L217" s="30">
        <v>216</v>
      </c>
    </row>
    <row r="218" spans="1:12" ht="24.95" customHeight="1" thickBot="1" x14ac:dyDescent="0.45">
      <c r="A218" s="3" t="s">
        <v>800</v>
      </c>
      <c r="B218" s="4">
        <v>329973000</v>
      </c>
      <c r="C218" s="4">
        <v>0</v>
      </c>
      <c r="D218" s="4">
        <v>17000</v>
      </c>
      <c r="E218" s="15" t="s">
        <v>773</v>
      </c>
      <c r="F218" s="3"/>
      <c r="G218" s="26"/>
      <c r="H218" s="27" t="s">
        <v>771</v>
      </c>
      <c r="I218" s="26" t="s">
        <v>774</v>
      </c>
      <c r="J218" s="26" t="s">
        <v>768</v>
      </c>
      <c r="K218" s="3" t="s">
        <v>17</v>
      </c>
      <c r="L218" s="28">
        <v>217</v>
      </c>
    </row>
    <row r="219" spans="1:12" ht="24.95" customHeight="1" thickBot="1" x14ac:dyDescent="0.45">
      <c r="A219" s="34" t="s">
        <v>804</v>
      </c>
      <c r="B219" s="6">
        <v>329990000</v>
      </c>
      <c r="C219" s="6">
        <v>0</v>
      </c>
      <c r="D219" s="6">
        <v>19900000</v>
      </c>
      <c r="E219" s="9" t="s">
        <v>775</v>
      </c>
      <c r="F219" s="5"/>
      <c r="G219" s="29" t="s">
        <v>776</v>
      </c>
      <c r="H219" s="31" t="s">
        <v>777</v>
      </c>
      <c r="I219" s="29" t="s">
        <v>778</v>
      </c>
      <c r="J219" s="29" t="s">
        <v>768</v>
      </c>
      <c r="K219" s="5" t="s">
        <v>17</v>
      </c>
      <c r="L219" s="30">
        <v>218</v>
      </c>
    </row>
    <row r="220" spans="1:12" ht="24.95" customHeight="1" thickBot="1" x14ac:dyDescent="0.45">
      <c r="A220" s="3" t="s">
        <v>800</v>
      </c>
      <c r="B220" s="4">
        <v>349890000</v>
      </c>
      <c r="C220" s="4">
        <v>0</v>
      </c>
      <c r="D220" s="4">
        <v>10000</v>
      </c>
      <c r="E220" s="11" t="s">
        <v>79</v>
      </c>
      <c r="F220" s="3"/>
      <c r="G220" s="26" t="s">
        <v>776</v>
      </c>
      <c r="H220" s="27" t="s">
        <v>777</v>
      </c>
      <c r="I220" s="26" t="s">
        <v>778</v>
      </c>
      <c r="J220" s="26" t="s">
        <v>768</v>
      </c>
      <c r="K220" s="3" t="s">
        <v>17</v>
      </c>
      <c r="L220" s="28">
        <v>219</v>
      </c>
    </row>
    <row r="221" spans="1:12" ht="24.95" customHeight="1" thickBot="1" x14ac:dyDescent="0.45">
      <c r="A221" s="5" t="s">
        <v>800</v>
      </c>
      <c r="B221" s="6">
        <v>349900000</v>
      </c>
      <c r="C221" s="6">
        <v>0</v>
      </c>
      <c r="D221" s="6">
        <v>100000</v>
      </c>
      <c r="E221" s="16" t="s">
        <v>779</v>
      </c>
      <c r="F221" s="5"/>
      <c r="G221" s="29"/>
      <c r="H221" s="31" t="s">
        <v>780</v>
      </c>
      <c r="I221" s="29" t="s">
        <v>781</v>
      </c>
      <c r="J221" s="29" t="s">
        <v>782</v>
      </c>
      <c r="K221" s="5" t="s">
        <v>783</v>
      </c>
      <c r="L221" s="30">
        <v>220</v>
      </c>
    </row>
    <row r="222" spans="1:12" ht="24.95" customHeight="1" thickBot="1" x14ac:dyDescent="0.45">
      <c r="A222" s="33" t="s">
        <v>2</v>
      </c>
      <c r="B222" s="4">
        <v>350000000</v>
      </c>
      <c r="C222" s="23">
        <v>50000000</v>
      </c>
      <c r="D222" s="4">
        <v>0</v>
      </c>
      <c r="E222" s="21" t="s">
        <v>500</v>
      </c>
      <c r="F222" s="3">
        <v>194</v>
      </c>
      <c r="G222" s="26" t="s">
        <v>501</v>
      </c>
      <c r="H222" s="27" t="s">
        <v>784</v>
      </c>
      <c r="I222" s="26" t="s">
        <v>785</v>
      </c>
      <c r="J222" s="26" t="s">
        <v>786</v>
      </c>
      <c r="K222" s="3" t="s">
        <v>17</v>
      </c>
      <c r="L222" s="28">
        <v>221</v>
      </c>
    </row>
    <row r="223" spans="1:12" ht="24.95" customHeight="1" thickBot="1" x14ac:dyDescent="0.45">
      <c r="A223" s="33" t="s">
        <v>2</v>
      </c>
      <c r="B223" s="6">
        <v>300000000</v>
      </c>
      <c r="C223" s="23">
        <v>100000000</v>
      </c>
      <c r="D223" s="6">
        <v>0</v>
      </c>
      <c r="E223" s="9" t="s">
        <v>787</v>
      </c>
      <c r="F223" s="5">
        <v>197</v>
      </c>
      <c r="G223" s="29" t="s">
        <v>788</v>
      </c>
      <c r="H223" s="31" t="s">
        <v>789</v>
      </c>
      <c r="I223" s="29" t="s">
        <v>790</v>
      </c>
      <c r="J223" s="29" t="s">
        <v>786</v>
      </c>
      <c r="K223" s="5" t="s">
        <v>17</v>
      </c>
      <c r="L223" s="30">
        <v>222</v>
      </c>
    </row>
    <row r="224" spans="1:12" ht="24.95" customHeight="1" thickBot="1" x14ac:dyDescent="0.45">
      <c r="A224" s="33" t="s">
        <v>2</v>
      </c>
      <c r="B224" s="4">
        <v>200000000</v>
      </c>
      <c r="C224" s="23">
        <v>100000000</v>
      </c>
      <c r="D224" s="4">
        <v>0</v>
      </c>
      <c r="E224" s="8" t="s">
        <v>791</v>
      </c>
      <c r="F224" s="3">
        <v>196</v>
      </c>
      <c r="G224" s="26" t="s">
        <v>792</v>
      </c>
      <c r="H224" s="27" t="s">
        <v>793</v>
      </c>
      <c r="I224" s="26" t="s">
        <v>794</v>
      </c>
      <c r="J224" s="26" t="s">
        <v>786</v>
      </c>
      <c r="K224" s="3" t="s">
        <v>17</v>
      </c>
      <c r="L224" s="28">
        <v>223</v>
      </c>
    </row>
    <row r="225" spans="1:12" ht="41.25" customHeight="1" thickBot="1" x14ac:dyDescent="0.45">
      <c r="A225" s="33" t="s">
        <v>2</v>
      </c>
      <c r="B225" s="6">
        <v>100000000</v>
      </c>
      <c r="C225" s="23">
        <v>100000000</v>
      </c>
      <c r="D225" s="6">
        <v>0</v>
      </c>
      <c r="E225" s="9" t="s">
        <v>795</v>
      </c>
      <c r="F225" s="5">
        <v>195</v>
      </c>
      <c r="G225" s="29" t="s">
        <v>796</v>
      </c>
      <c r="H225" s="31" t="s">
        <v>797</v>
      </c>
      <c r="I225" s="29" t="s">
        <v>798</v>
      </c>
      <c r="J225" s="29" t="s">
        <v>786</v>
      </c>
      <c r="K225" s="5" t="s">
        <v>17</v>
      </c>
      <c r="L225" s="30">
        <v>224</v>
      </c>
    </row>
  </sheetData>
  <autoFilter ref="A1:L225">
    <filterColumn colId="6" showButton="0"/>
    <filterColumn colId="7" showButton="0"/>
    <filterColumn colId="8" showButton="0"/>
    <filterColumn colId="9" showButton="0"/>
    <filterColumn colId="11" showButton="0"/>
  </autoFilter>
  <pageMargins left="0" right="0" top="0" bottom="0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2025-01-24T20:05:20Z</dcterms:created>
  <dcterms:modified xsi:type="dcterms:W3CDTF">2025-04-14T15:55:51Z</dcterms:modified>
</cp:coreProperties>
</file>